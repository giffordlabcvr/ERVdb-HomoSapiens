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0" yWindow="0" windowWidth="46580" windowHeight="26500" tabRatio="500"/>
  </bookViews>
  <sheets>
    <sheet name="ERVK-#" sheetId="1" r:id="rId1"/>
    <sheet name="ERVW-#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0" i="1" l="1"/>
  <c r="N40" i="1"/>
  <c r="O40" i="1"/>
  <c r="P40" i="1"/>
  <c r="M41" i="1"/>
  <c r="N41" i="1"/>
  <c r="O41" i="1"/>
  <c r="P4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30" i="1"/>
  <c r="P31" i="1"/>
  <c r="P32" i="1"/>
  <c r="P33" i="1"/>
  <c r="P34" i="1"/>
  <c r="P35" i="1"/>
  <c r="P36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0" i="1"/>
  <c r="O31" i="1"/>
  <c r="O32" i="1"/>
  <c r="O33" i="1"/>
  <c r="O34" i="1"/>
  <c r="O35" i="1"/>
  <c r="O3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30" i="1"/>
  <c r="N31" i="1"/>
  <c r="N32" i="1"/>
  <c r="N33" i="1"/>
  <c r="N34" i="1"/>
  <c r="N35" i="1"/>
  <c r="N36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0" i="1"/>
  <c r="M31" i="1"/>
  <c r="M32" i="1"/>
  <c r="M33" i="1"/>
  <c r="M34" i="1"/>
  <c r="M35" i="1"/>
  <c r="M36" i="1"/>
  <c r="M5" i="1"/>
</calcChain>
</file>

<file path=xl/comments1.xml><?xml version="1.0" encoding="utf-8"?>
<comments xmlns="http://schemas.openxmlformats.org/spreadsheetml/2006/main">
  <authors>
    <author>Jens Mayer</author>
  </authors>
  <commentList>
    <comment ref="D23" authorId="0">
      <text>
        <r>
          <rPr>
            <b/>
            <sz val="9"/>
            <color indexed="81"/>
            <rFont val="Calibri"/>
            <family val="2"/>
          </rPr>
          <t>Jens Mayer:</t>
        </r>
        <r>
          <rPr>
            <sz val="9"/>
            <color indexed="81"/>
            <rFont val="Calibri"/>
            <family val="2"/>
          </rPr>
          <t xml:space="preserve">
it is possible that locus is identical to ERVK-20 based on acc. no.  U87593 mentioned in Mayer et al. 2011 that aligns 100% with locus in chr19p11 (=ERVK-28).
Not sure why there are two entries.
</t>
        </r>
      </text>
    </comment>
    <comment ref="J33" authorId="0">
      <text>
        <r>
          <rPr>
            <b/>
            <sz val="9"/>
            <color indexed="81"/>
            <rFont val="Calibri"/>
            <family val="2"/>
          </rPr>
          <t>Jens Mayer:</t>
        </r>
        <r>
          <rPr>
            <sz val="9"/>
            <color indexed="81"/>
            <rFont val="Calibri"/>
            <family val="2"/>
          </rPr>
          <t xml:space="preserve">
see ERVK-28</t>
        </r>
      </text>
    </comment>
  </commentList>
</comments>
</file>

<file path=xl/sharedStrings.xml><?xml version="1.0" encoding="utf-8"?>
<sst xmlns="http://schemas.openxmlformats.org/spreadsheetml/2006/main" count="471" uniqueCount="160">
  <si>
    <t>name</t>
  </si>
  <si>
    <t>chr</t>
  </si>
  <si>
    <t>start</t>
  </si>
  <si>
    <t>end</t>
  </si>
  <si>
    <t>band</t>
  </si>
  <si>
    <t>ERVK-1</t>
  </si>
  <si>
    <t>1p31.1</t>
  </si>
  <si>
    <t>ERVK-7</t>
  </si>
  <si>
    <t>1q22</t>
  </si>
  <si>
    <t>ERVK-18</t>
  </si>
  <si>
    <t>1q23.3</t>
  </si>
  <si>
    <t>3q12.3</t>
  </si>
  <si>
    <t>ERVK-3</t>
  </si>
  <si>
    <t>3q13.2</t>
  </si>
  <si>
    <t>ERVK-4</t>
  </si>
  <si>
    <t>3q21.2</t>
  </si>
  <si>
    <t>ERVK-13</t>
  </si>
  <si>
    <t>3q24</t>
  </si>
  <si>
    <t>ERVK-11</t>
  </si>
  <si>
    <t>3q27.2</t>
  </si>
  <si>
    <t>ERVK-10</t>
  </si>
  <si>
    <t>5q33.3</t>
  </si>
  <si>
    <t>ERVK-9</t>
  </si>
  <si>
    <t>6q14.1</t>
  </si>
  <si>
    <t>7p22.1</t>
  </si>
  <si>
    <t>7q22.1</t>
  </si>
  <si>
    <t>7q34</t>
  </si>
  <si>
    <t>8p23.1</t>
  </si>
  <si>
    <t>ERVK-16</t>
  </si>
  <si>
    <t>10p14</t>
  </si>
  <si>
    <t>ERVK-17</t>
  </si>
  <si>
    <t>10q24.2</t>
  </si>
  <si>
    <t>11q12.3</t>
  </si>
  <si>
    <t>ERVK-21</t>
  </si>
  <si>
    <t>12q14.1</t>
  </si>
  <si>
    <t>19q12</t>
  </si>
  <si>
    <t>19q13.12</t>
  </si>
  <si>
    <t>ERVK-23</t>
  </si>
  <si>
    <t>21q21.1</t>
  </si>
  <si>
    <t>ERVK-24</t>
  </si>
  <si>
    <t>22q11.21</t>
  </si>
  <si>
    <t>ERVK-5</t>
  </si>
  <si>
    <t>ERVK-6</t>
  </si>
  <si>
    <t>ERVK-14</t>
  </si>
  <si>
    <t>ERVK-15</t>
  </si>
  <si>
    <t>ERVK-26</t>
  </si>
  <si>
    <t>ERVK-27</t>
  </si>
  <si>
    <t>ERVK-28</t>
  </si>
  <si>
    <t>ERVK-29</t>
  </si>
  <si>
    <t>sorted by HGNC name</t>
  </si>
  <si>
    <t xml:space="preserve">ERVK-2  </t>
  </si>
  <si>
    <t>3p25.3</t>
  </si>
  <si>
    <t>ERVK-8</t>
  </si>
  <si>
    <t>ERVK-12</t>
  </si>
  <si>
    <t>4q32.3</t>
  </si>
  <si>
    <t>ERVK-19</t>
  </si>
  <si>
    <t>ERVK-20</t>
  </si>
  <si>
    <t>19q11*</t>
  </si>
  <si>
    <t>=HERV-K115 =polymorphic</t>
  </si>
  <si>
    <t>11q23.3</t>
  </si>
  <si>
    <t>ERVK-22</t>
  </si>
  <si>
    <t>ERVK-25</t>
  </si>
  <si>
    <t>19p13.3</t>
  </si>
  <si>
    <t xml:space="preserve">11q22.1 </t>
  </si>
  <si>
    <t>chr1</t>
  </si>
  <si>
    <t>chr3</t>
  </si>
  <si>
    <t>chr7</t>
  </si>
  <si>
    <t>chr6</t>
  </si>
  <si>
    <t>chr5</t>
  </si>
  <si>
    <t>chr10</t>
  </si>
  <si>
    <t>chr12</t>
  </si>
  <si>
    <t>chr21</t>
  </si>
  <si>
    <t>chr22</t>
  </si>
  <si>
    <t>chr8</t>
  </si>
  <si>
    <t>chr11</t>
  </si>
  <si>
    <t>chr19</t>
  </si>
  <si>
    <t>ERVK-2 </t>
  </si>
  <si>
    <t>chr4</t>
  </si>
  <si>
    <t>chr2</t>
  </si>
  <si>
    <t>ERVW-3</t>
  </si>
  <si>
    <t>ERVW-17</t>
  </si>
  <si>
    <t>7q21.2</t>
  </si>
  <si>
    <t>ERVW-1</t>
  </si>
  <si>
    <t>chr9</t>
  </si>
  <si>
    <t>12q13.13</t>
  </si>
  <si>
    <t>ERVW-24</t>
  </si>
  <si>
    <t>chr14</t>
  </si>
  <si>
    <t>14q21.3</t>
  </si>
  <si>
    <t>ERVW-26</t>
  </si>
  <si>
    <t>chr15</t>
  </si>
  <si>
    <t>15q21.3</t>
  </si>
  <si>
    <t>ERVW-4</t>
  </si>
  <si>
    <t>chr17</t>
  </si>
  <si>
    <t>ERVW-28</t>
  </si>
  <si>
    <t>chrX</t>
  </si>
  <si>
    <t>ERVW-2</t>
  </si>
  <si>
    <t>amplicon 5'env</t>
  </si>
  <si>
    <t>3q23a</t>
  </si>
  <si>
    <t>17q12b</t>
  </si>
  <si>
    <t>ERVW-7</t>
  </si>
  <si>
    <t>ERVW-8</t>
  </si>
  <si>
    <t>1q25.2</t>
  </si>
  <si>
    <t>ERVW-9</t>
  </si>
  <si>
    <t>1q32.1</t>
  </si>
  <si>
    <t>ERVW-10</t>
  </si>
  <si>
    <t>1q42.13</t>
  </si>
  <si>
    <t>ERVW-11</t>
  </si>
  <si>
    <t>2p16.2</t>
  </si>
  <si>
    <t>ERVW-12</t>
  </si>
  <si>
    <t>2q13</t>
  </si>
  <si>
    <t>ERVW-13</t>
  </si>
  <si>
    <t>ERVW-14</t>
  </si>
  <si>
    <t>3q26.32</t>
  </si>
  <si>
    <t>ERVW-5</t>
  </si>
  <si>
    <t>4p16.1</t>
  </si>
  <si>
    <t>ERVW-15</t>
  </si>
  <si>
    <t>4q28.3</t>
  </si>
  <si>
    <t>ERVW-16</t>
  </si>
  <si>
    <t>ERVW-18</t>
  </si>
  <si>
    <t>6q27</t>
  </si>
  <si>
    <t>ERVW-19</t>
  </si>
  <si>
    <t>8q21.11</t>
  </si>
  <si>
    <t>ERVW-20</t>
  </si>
  <si>
    <t>8q21.13</t>
  </si>
  <si>
    <t>ERVW-21</t>
  </si>
  <si>
    <t>9p13.3</t>
  </si>
  <si>
    <t>ERVW-22</t>
  </si>
  <si>
    <t>11q14.1</t>
  </si>
  <si>
    <t>ERVW-6</t>
  </si>
  <si>
    <t>ERVW-23</t>
  </si>
  <si>
    <t>chr13</t>
  </si>
  <si>
    <t>13q13.3</t>
  </si>
  <si>
    <t>ERVW-25</t>
  </si>
  <si>
    <t>14q32.12</t>
  </si>
  <si>
    <t>ERVW-27</t>
  </si>
  <si>
    <t>chr18</t>
  </si>
  <si>
    <t>18p11.21</t>
  </si>
  <si>
    <t>ERVW-29</t>
  </si>
  <si>
    <t>amplicon 3'env</t>
  </si>
  <si>
    <t>1p33a</t>
  </si>
  <si>
    <t>3q23</t>
  </si>
  <si>
    <t>6q21</t>
  </si>
  <si>
    <t>17q12</t>
  </si>
  <si>
    <t>Xq22.3</t>
  </si>
  <si>
    <t>1p22.2</t>
  </si>
  <si>
    <t>2q31.2</t>
  </si>
  <si>
    <t>6q24.2</t>
  </si>
  <si>
    <t>12p13.31</t>
  </si>
  <si>
    <r>
      <t>hg</t>
    </r>
    <r>
      <rPr>
        <b/>
        <i/>
        <u/>
        <sz val="12"/>
        <color theme="1"/>
        <rFont val="Calibri"/>
        <scheme val="minor"/>
      </rPr>
      <t>19</t>
    </r>
    <r>
      <rPr>
        <b/>
        <u/>
        <sz val="12"/>
        <color theme="1"/>
        <rFont val="Calibri"/>
        <scheme val="minor"/>
      </rPr>
      <t>; BED</t>
    </r>
  </si>
  <si>
    <r>
      <t>hg</t>
    </r>
    <r>
      <rPr>
        <b/>
        <i/>
        <u/>
        <sz val="12"/>
        <color theme="1"/>
        <rFont val="Calibri"/>
        <scheme val="minor"/>
      </rPr>
      <t>18</t>
    </r>
    <r>
      <rPr>
        <b/>
        <u/>
        <sz val="12"/>
        <color theme="1"/>
        <rFont val="Calibri"/>
        <scheme val="minor"/>
      </rPr>
      <t>; BED</t>
    </r>
  </si>
  <si>
    <t>loci from Schmitt et al. 2013: J Virol 87, 13837–13852</t>
  </si>
  <si>
    <t>loci from Schmitt et al. 2013: Genome Biol Evol 5, 307–328</t>
  </si>
  <si>
    <t>identified/registered in Schmitt et al. 2015: Mobile DNA 6, 4</t>
  </si>
  <si>
    <t>ERVK-30</t>
  </si>
  <si>
    <t>2q23.1</t>
  </si>
  <si>
    <t>=retrotransposed rec mRNA</t>
  </si>
  <si>
    <t>ERVK-31</t>
  </si>
  <si>
    <t>5q15</t>
  </si>
  <si>
    <t>missing in Schmitt et al. 2013; mentioned in Mayer et al. 2011</t>
  </si>
  <si>
    <r>
      <t>hg</t>
    </r>
    <r>
      <rPr>
        <b/>
        <i/>
        <sz val="14"/>
        <color theme="5"/>
        <rFont val="Calibri"/>
        <scheme val="minor"/>
      </rPr>
      <t>18</t>
    </r>
    <r>
      <rPr>
        <b/>
        <sz val="14"/>
        <color theme="5"/>
        <rFont val="Calibri"/>
        <scheme val="minor"/>
      </rPr>
      <t xml:space="preserve"> coordinates of entire loci incl. LTRs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</si>
</sst>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u/>
      <sz val="14"/>
      <color theme="9" tint="-0.249977111117893"/>
      <name val="Calibri"/>
      <scheme val="minor"/>
    </font>
    <font>
      <b/>
      <sz val="14"/>
      <color theme="5"/>
      <name val="Calibri"/>
      <scheme val="minor"/>
    </font>
    <font>
      <sz val="10"/>
      <name val="Verdana"/>
      <family val="2"/>
    </font>
    <font>
      <b/>
      <i/>
      <sz val="14"/>
      <color theme="5"/>
      <name val="Calibri"/>
      <scheme val="minor"/>
    </font>
    <font>
      <b/>
      <i/>
      <u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quotePrefix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42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Standard" xfId="0" builtinId="0"/>
    <cellStyle name="Standard 2" xfId="2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1"/>
  <sheetViews>
    <sheetView tabSelected="1" zoomScale="125" zoomScaleNormal="125" zoomScalePageLayoutView="125" workbookViewId="0">
      <selection activeCell="A3" sqref="A3"/>
    </sheetView>
  </sheetViews>
  <sheetFormatPr baseColWidth="10" defaultRowHeight="15" x14ac:dyDescent="0"/>
  <cols>
    <col min="1" max="1" width="4.83203125" style="1" customWidth="1"/>
    <col min="2" max="3" width="10.5" style="1" bestFit="1" customWidth="1"/>
    <col min="4" max="4" width="8.1640625" style="1" bestFit="1" customWidth="1"/>
    <col min="5" max="6" width="8.83203125" style="1" bestFit="1" customWidth="1"/>
    <col min="7" max="7" width="4.83203125" style="1" customWidth="1"/>
    <col min="8" max="9" width="10.5" style="1" bestFit="1" customWidth="1"/>
    <col min="10" max="10" width="8.1640625" style="1" bestFit="1" customWidth="1"/>
    <col min="11" max="11" width="8.83203125" style="1" bestFit="1" customWidth="1"/>
    <col min="12" max="12" width="25.5" style="1" customWidth="1"/>
    <col min="13" max="13" width="6.33203125" style="1" customWidth="1"/>
    <col min="14" max="15" width="10.5" style="1" bestFit="1" customWidth="1"/>
    <col min="16" max="17" width="8.1640625" style="1" bestFit="1" customWidth="1"/>
    <col min="18" max="18" width="6.33203125" style="1" customWidth="1"/>
    <col min="19" max="20" width="10.5" style="1" bestFit="1" customWidth="1"/>
    <col min="21" max="22" width="8.1640625" style="1" bestFit="1" customWidth="1"/>
    <col min="23" max="16384" width="10.83203125" style="1"/>
  </cols>
  <sheetData>
    <row r="1" spans="1:21" ht="18">
      <c r="A1" s="6" t="s">
        <v>151</v>
      </c>
    </row>
    <row r="2" spans="1:21" ht="18">
      <c r="A2" s="7" t="s">
        <v>159</v>
      </c>
    </row>
    <row r="3" spans="1:21">
      <c r="G3" s="2" t="s">
        <v>49</v>
      </c>
      <c r="M3" s="2" t="s">
        <v>149</v>
      </c>
      <c r="R3" s="2" t="s">
        <v>148</v>
      </c>
    </row>
    <row r="4" spans="1:21">
      <c r="A4" s="3" t="s">
        <v>1</v>
      </c>
      <c r="B4" s="3" t="s">
        <v>2</v>
      </c>
      <c r="C4" s="3" t="s">
        <v>3</v>
      </c>
      <c r="D4" s="3" t="s">
        <v>0</v>
      </c>
      <c r="E4" s="3" t="s">
        <v>4</v>
      </c>
      <c r="G4" s="3" t="s">
        <v>1</v>
      </c>
      <c r="H4" s="3" t="s">
        <v>2</v>
      </c>
      <c r="I4" s="3" t="s">
        <v>3</v>
      </c>
      <c r="J4" s="3" t="s">
        <v>0</v>
      </c>
      <c r="K4" s="3" t="s">
        <v>4</v>
      </c>
    </row>
    <row r="5" spans="1:21">
      <c r="A5" s="1">
        <v>1</v>
      </c>
      <c r="B5" s="1">
        <v>75615359</v>
      </c>
      <c r="C5" s="1">
        <v>75621731</v>
      </c>
      <c r="D5" s="1" t="s">
        <v>5</v>
      </c>
      <c r="E5" s="1" t="s">
        <v>6</v>
      </c>
      <c r="G5" s="1">
        <v>1</v>
      </c>
      <c r="H5" s="1">
        <v>75615359</v>
      </c>
      <c r="I5" s="1">
        <v>75621731</v>
      </c>
      <c r="J5" s="1" t="s">
        <v>5</v>
      </c>
      <c r="K5" s="1" t="s">
        <v>6</v>
      </c>
      <c r="M5" s="1" t="str">
        <f>"chr"&amp;G5</f>
        <v>chr1</v>
      </c>
      <c r="N5" s="1">
        <f>H5</f>
        <v>75615359</v>
      </c>
      <c r="O5" s="1">
        <f>I5</f>
        <v>75621731</v>
      </c>
      <c r="P5" s="1" t="str">
        <f>J5</f>
        <v>ERVK-1</v>
      </c>
      <c r="R5" s="1" t="s">
        <v>64</v>
      </c>
      <c r="S5" s="1">
        <v>75842771</v>
      </c>
      <c r="T5" s="1">
        <v>75849143</v>
      </c>
      <c r="U5" s="1" t="s">
        <v>5</v>
      </c>
    </row>
    <row r="6" spans="1:21">
      <c r="A6" s="1">
        <v>1</v>
      </c>
      <c r="B6" s="1">
        <v>153863081</v>
      </c>
      <c r="C6" s="1">
        <v>153872260</v>
      </c>
      <c r="D6" s="1" t="s">
        <v>7</v>
      </c>
      <c r="E6" s="1" t="s">
        <v>8</v>
      </c>
      <c r="G6" s="1">
        <v>3</v>
      </c>
      <c r="H6" s="1">
        <v>114225814</v>
      </c>
      <c r="I6" s="1">
        <v>114234972</v>
      </c>
      <c r="J6" s="1" t="s">
        <v>12</v>
      </c>
      <c r="K6" s="1" t="s">
        <v>13</v>
      </c>
      <c r="M6" s="1" t="str">
        <f t="shared" ref="M6:M36" si="0">"chr"&amp;G6</f>
        <v>chr3</v>
      </c>
      <c r="N6" s="1">
        <f t="shared" ref="N6:P36" si="1">H6</f>
        <v>114225814</v>
      </c>
      <c r="O6" s="1">
        <f t="shared" si="1"/>
        <v>114234972</v>
      </c>
      <c r="P6" s="1" t="str">
        <f t="shared" si="1"/>
        <v>ERVK-3</v>
      </c>
      <c r="R6" s="1" t="s">
        <v>65</v>
      </c>
      <c r="S6" s="1">
        <v>112743124</v>
      </c>
      <c r="T6" s="1">
        <v>112752282</v>
      </c>
      <c r="U6" s="1" t="s">
        <v>12</v>
      </c>
    </row>
    <row r="7" spans="1:21">
      <c r="A7" s="1">
        <v>1</v>
      </c>
      <c r="B7" s="1">
        <v>158927199</v>
      </c>
      <c r="C7" s="1">
        <v>158936430</v>
      </c>
      <c r="D7" s="1" t="s">
        <v>9</v>
      </c>
      <c r="E7" s="1" t="s">
        <v>10</v>
      </c>
      <c r="G7" s="1">
        <v>3</v>
      </c>
      <c r="H7" s="1">
        <v>127091992</v>
      </c>
      <c r="I7" s="1">
        <v>127101129</v>
      </c>
      <c r="J7" s="1" t="s">
        <v>14</v>
      </c>
      <c r="K7" s="1" t="s">
        <v>15</v>
      </c>
      <c r="M7" s="1" t="str">
        <f t="shared" si="0"/>
        <v>chr3</v>
      </c>
      <c r="N7" s="1">
        <f t="shared" si="1"/>
        <v>127091992</v>
      </c>
      <c r="O7" s="1">
        <f t="shared" si="1"/>
        <v>127101129</v>
      </c>
      <c r="P7" s="1" t="str">
        <f t="shared" si="1"/>
        <v>ERVK-4</v>
      </c>
      <c r="R7" s="1" t="s">
        <v>65</v>
      </c>
      <c r="S7" s="1">
        <v>125609302</v>
      </c>
      <c r="T7" s="1">
        <v>125618439</v>
      </c>
      <c r="U7" s="1" t="s">
        <v>14</v>
      </c>
    </row>
    <row r="8" spans="1:21">
      <c r="A8" s="1">
        <v>3</v>
      </c>
      <c r="B8" s="1">
        <v>102893427</v>
      </c>
      <c r="C8" s="1">
        <v>102902549</v>
      </c>
      <c r="D8" s="1" t="s">
        <v>41</v>
      </c>
      <c r="E8" s="1" t="s">
        <v>11</v>
      </c>
      <c r="G8" s="1">
        <v>3</v>
      </c>
      <c r="H8" s="1">
        <v>102893427</v>
      </c>
      <c r="I8" s="1">
        <v>102902549</v>
      </c>
      <c r="J8" s="1" t="s">
        <v>41</v>
      </c>
      <c r="K8" s="1" t="s">
        <v>11</v>
      </c>
      <c r="M8" s="1" t="str">
        <f t="shared" si="0"/>
        <v>chr3</v>
      </c>
      <c r="N8" s="1">
        <f t="shared" si="1"/>
        <v>102893427</v>
      </c>
      <c r="O8" s="1">
        <f t="shared" si="1"/>
        <v>102902549</v>
      </c>
      <c r="P8" s="1" t="str">
        <f t="shared" si="1"/>
        <v>ERVK-5</v>
      </c>
      <c r="R8" s="1" t="s">
        <v>65</v>
      </c>
      <c r="S8" s="1">
        <v>101410737</v>
      </c>
      <c r="T8" s="1">
        <v>101419859</v>
      </c>
      <c r="U8" s="1" t="s">
        <v>41</v>
      </c>
    </row>
    <row r="9" spans="1:21">
      <c r="A9" s="1">
        <v>3</v>
      </c>
      <c r="B9" s="1">
        <v>114225814</v>
      </c>
      <c r="C9" s="1">
        <v>114234972</v>
      </c>
      <c r="D9" s="1" t="s">
        <v>12</v>
      </c>
      <c r="E9" s="1" t="s">
        <v>13</v>
      </c>
      <c r="G9" s="1">
        <v>7</v>
      </c>
      <c r="H9" s="1">
        <v>4588583</v>
      </c>
      <c r="I9" s="1">
        <v>4606557</v>
      </c>
      <c r="J9" s="1" t="s">
        <v>42</v>
      </c>
      <c r="K9" s="1" t="s">
        <v>24</v>
      </c>
      <c r="M9" s="1" t="str">
        <f t="shared" si="0"/>
        <v>chr7</v>
      </c>
      <c r="N9" s="1">
        <f t="shared" si="1"/>
        <v>4588583</v>
      </c>
      <c r="O9" s="1">
        <f t="shared" si="1"/>
        <v>4606557</v>
      </c>
      <c r="P9" s="1" t="str">
        <f t="shared" si="1"/>
        <v>ERVK-6</v>
      </c>
      <c r="R9" s="1" t="s">
        <v>66</v>
      </c>
      <c r="S9" s="1">
        <v>4622057</v>
      </c>
      <c r="T9" s="1">
        <v>4640031</v>
      </c>
      <c r="U9" s="1" t="s">
        <v>42</v>
      </c>
    </row>
    <row r="10" spans="1:21">
      <c r="A10" s="1">
        <v>3</v>
      </c>
      <c r="B10" s="1">
        <v>127091992</v>
      </c>
      <c r="C10" s="1">
        <v>127101129</v>
      </c>
      <c r="D10" s="1" t="s">
        <v>14</v>
      </c>
      <c r="E10" s="1" t="s">
        <v>15</v>
      </c>
      <c r="G10" s="1">
        <v>1</v>
      </c>
      <c r="H10" s="1">
        <v>153863081</v>
      </c>
      <c r="I10" s="1">
        <v>153872260</v>
      </c>
      <c r="J10" s="1" t="s">
        <v>7</v>
      </c>
      <c r="K10" s="1" t="s">
        <v>8</v>
      </c>
      <c r="M10" s="1" t="str">
        <f t="shared" si="0"/>
        <v>chr1</v>
      </c>
      <c r="N10" s="1">
        <f t="shared" si="1"/>
        <v>153863081</v>
      </c>
      <c r="O10" s="1">
        <f t="shared" si="1"/>
        <v>153872260</v>
      </c>
      <c r="P10" s="1" t="str">
        <f t="shared" si="1"/>
        <v>ERVK-7</v>
      </c>
      <c r="R10" s="1" t="s">
        <v>64</v>
      </c>
      <c r="S10" s="1">
        <v>155596457</v>
      </c>
      <c r="T10" s="1">
        <v>155605636</v>
      </c>
      <c r="U10" s="1" t="s">
        <v>7</v>
      </c>
    </row>
    <row r="11" spans="1:21">
      <c r="A11" s="1">
        <v>3</v>
      </c>
      <c r="B11" s="1">
        <v>149764167</v>
      </c>
      <c r="C11" s="1">
        <v>149768086</v>
      </c>
      <c r="D11" s="1" t="s">
        <v>16</v>
      </c>
      <c r="E11" s="1" t="s">
        <v>17</v>
      </c>
      <c r="G11" s="1">
        <v>6</v>
      </c>
      <c r="H11" s="1">
        <v>78483381</v>
      </c>
      <c r="I11" s="1">
        <v>78492802</v>
      </c>
      <c r="J11" s="1" t="s">
        <v>22</v>
      </c>
      <c r="K11" s="1" t="s">
        <v>23</v>
      </c>
      <c r="M11" s="1" t="str">
        <f t="shared" si="0"/>
        <v>chr6</v>
      </c>
      <c r="N11" s="1">
        <f t="shared" si="1"/>
        <v>78483381</v>
      </c>
      <c r="O11" s="1">
        <f t="shared" si="1"/>
        <v>78492802</v>
      </c>
      <c r="P11" s="1" t="str">
        <f t="shared" si="1"/>
        <v>ERVK-9</v>
      </c>
      <c r="R11" s="1" t="s">
        <v>67</v>
      </c>
      <c r="S11" s="1">
        <v>78426662</v>
      </c>
      <c r="T11" s="1">
        <v>78436083</v>
      </c>
      <c r="U11" s="1" t="s">
        <v>22</v>
      </c>
    </row>
    <row r="12" spans="1:21">
      <c r="A12" s="1">
        <v>3</v>
      </c>
      <c r="B12" s="1">
        <v>186763030</v>
      </c>
      <c r="C12" s="1">
        <v>186772209</v>
      </c>
      <c r="D12" s="1" t="s">
        <v>18</v>
      </c>
      <c r="E12" s="1" t="s">
        <v>19</v>
      </c>
      <c r="G12" s="1">
        <v>5</v>
      </c>
      <c r="H12" s="1">
        <v>156017295</v>
      </c>
      <c r="I12" s="1">
        <v>156026474</v>
      </c>
      <c r="J12" s="1" t="s">
        <v>20</v>
      </c>
      <c r="K12" s="1" t="s">
        <v>21</v>
      </c>
      <c r="M12" s="1" t="str">
        <f t="shared" si="0"/>
        <v>chr5</v>
      </c>
      <c r="N12" s="1">
        <f t="shared" si="1"/>
        <v>156017295</v>
      </c>
      <c r="O12" s="1">
        <f t="shared" si="1"/>
        <v>156026474</v>
      </c>
      <c r="P12" s="1" t="str">
        <f t="shared" si="1"/>
        <v>ERVK-10</v>
      </c>
      <c r="R12" s="1" t="s">
        <v>68</v>
      </c>
      <c r="S12" s="1">
        <v>156084717</v>
      </c>
      <c r="T12" s="1">
        <v>156093896</v>
      </c>
      <c r="U12" s="1" t="s">
        <v>20</v>
      </c>
    </row>
    <row r="13" spans="1:21">
      <c r="A13" s="1">
        <v>5</v>
      </c>
      <c r="B13" s="1">
        <v>156017295</v>
      </c>
      <c r="C13" s="1">
        <v>156026474</v>
      </c>
      <c r="D13" s="1" t="s">
        <v>20</v>
      </c>
      <c r="E13" s="1" t="s">
        <v>21</v>
      </c>
      <c r="G13" s="1">
        <v>3</v>
      </c>
      <c r="H13" s="1">
        <v>186763030</v>
      </c>
      <c r="I13" s="1">
        <v>186772209</v>
      </c>
      <c r="J13" s="1" t="s">
        <v>18</v>
      </c>
      <c r="K13" s="1" t="s">
        <v>19</v>
      </c>
      <c r="M13" s="1" t="str">
        <f t="shared" si="0"/>
        <v>chr3</v>
      </c>
      <c r="N13" s="1">
        <f t="shared" si="1"/>
        <v>186763030</v>
      </c>
      <c r="O13" s="1">
        <f t="shared" si="1"/>
        <v>186772209</v>
      </c>
      <c r="P13" s="1" t="str">
        <f t="shared" si="1"/>
        <v>ERVK-11</v>
      </c>
      <c r="R13" s="1" t="s">
        <v>65</v>
      </c>
      <c r="S13" s="1">
        <v>185280336</v>
      </c>
      <c r="T13" s="1">
        <v>185289515</v>
      </c>
      <c r="U13" s="1" t="s">
        <v>18</v>
      </c>
    </row>
    <row r="14" spans="1:21">
      <c r="A14" s="1">
        <v>6</v>
      </c>
      <c r="B14" s="1">
        <v>78483381</v>
      </c>
      <c r="C14" s="1">
        <v>78492802</v>
      </c>
      <c r="D14" s="1" t="s">
        <v>22</v>
      </c>
      <c r="E14" s="1" t="s">
        <v>23</v>
      </c>
      <c r="G14" s="1">
        <v>3</v>
      </c>
      <c r="H14" s="1">
        <v>149764167</v>
      </c>
      <c r="I14" s="1">
        <v>149768086</v>
      </c>
      <c r="J14" s="1" t="s">
        <v>16</v>
      </c>
      <c r="K14" s="1" t="s">
        <v>17</v>
      </c>
      <c r="M14" s="1" t="str">
        <f t="shared" si="0"/>
        <v>chr3</v>
      </c>
      <c r="N14" s="1">
        <f t="shared" si="1"/>
        <v>149764167</v>
      </c>
      <c r="O14" s="1">
        <f t="shared" si="1"/>
        <v>149768086</v>
      </c>
      <c r="P14" s="1" t="str">
        <f t="shared" si="1"/>
        <v>ERVK-13</v>
      </c>
      <c r="R14" s="1" t="s">
        <v>65</v>
      </c>
      <c r="S14" s="1">
        <v>148281477</v>
      </c>
      <c r="T14" s="1">
        <v>148285396</v>
      </c>
      <c r="U14" s="1" t="s">
        <v>16</v>
      </c>
    </row>
    <row r="15" spans="1:21">
      <c r="A15" s="1">
        <v>7</v>
      </c>
      <c r="B15" s="1">
        <v>4588583</v>
      </c>
      <c r="C15" s="1">
        <v>4606557</v>
      </c>
      <c r="D15" s="1" t="s">
        <v>42</v>
      </c>
      <c r="E15" s="1" t="s">
        <v>24</v>
      </c>
      <c r="G15" s="1">
        <v>7</v>
      </c>
      <c r="H15" s="1">
        <v>104175604</v>
      </c>
      <c r="I15" s="1">
        <v>104180502</v>
      </c>
      <c r="J15" s="1" t="s">
        <v>43</v>
      </c>
      <c r="K15" s="1" t="s">
        <v>25</v>
      </c>
      <c r="M15" s="1" t="str">
        <f t="shared" si="0"/>
        <v>chr7</v>
      </c>
      <c r="N15" s="1">
        <f t="shared" si="1"/>
        <v>104175604</v>
      </c>
      <c r="O15" s="1">
        <f t="shared" si="1"/>
        <v>104180502</v>
      </c>
      <c r="P15" s="1" t="str">
        <f t="shared" si="1"/>
        <v>ERVK-14</v>
      </c>
      <c r="R15" s="1" t="s">
        <v>66</v>
      </c>
      <c r="S15" s="1">
        <v>104388368</v>
      </c>
      <c r="T15" s="1">
        <v>104393266</v>
      </c>
      <c r="U15" s="1" t="s">
        <v>43</v>
      </c>
    </row>
    <row r="16" spans="1:21">
      <c r="A16" s="1">
        <v>7</v>
      </c>
      <c r="B16" s="1">
        <v>104175604</v>
      </c>
      <c r="C16" s="1">
        <v>104180502</v>
      </c>
      <c r="D16" s="1" t="s">
        <v>43</v>
      </c>
      <c r="E16" s="1" t="s">
        <v>25</v>
      </c>
      <c r="G16" s="1">
        <v>7</v>
      </c>
      <c r="H16" s="1">
        <v>141097395</v>
      </c>
      <c r="I16" s="1">
        <v>141102407</v>
      </c>
      <c r="J16" s="1" t="s">
        <v>44</v>
      </c>
      <c r="K16" s="1" t="s">
        <v>26</v>
      </c>
      <c r="M16" s="1" t="str">
        <f t="shared" si="0"/>
        <v>chr7</v>
      </c>
      <c r="N16" s="1">
        <f t="shared" si="1"/>
        <v>141097395</v>
      </c>
      <c r="O16" s="1">
        <f t="shared" si="1"/>
        <v>141102407</v>
      </c>
      <c r="P16" s="1" t="str">
        <f t="shared" si="1"/>
        <v>ERVK-15</v>
      </c>
      <c r="R16" s="1" t="s">
        <v>66</v>
      </c>
      <c r="S16" s="1">
        <v>141450926</v>
      </c>
      <c r="T16" s="1">
        <v>141455938</v>
      </c>
      <c r="U16" s="1" t="s">
        <v>44</v>
      </c>
    </row>
    <row r="17" spans="1:21">
      <c r="A17" s="1">
        <v>7</v>
      </c>
      <c r="B17" s="1">
        <v>141097395</v>
      </c>
      <c r="C17" s="1">
        <v>141102407</v>
      </c>
      <c r="D17" s="1" t="s">
        <v>44</v>
      </c>
      <c r="E17" s="1" t="s">
        <v>26</v>
      </c>
      <c r="G17" s="1">
        <v>10</v>
      </c>
      <c r="H17" s="1">
        <v>6906147</v>
      </c>
      <c r="I17" s="1">
        <v>6915609</v>
      </c>
      <c r="J17" s="1" t="s">
        <v>28</v>
      </c>
      <c r="K17" s="1" t="s">
        <v>29</v>
      </c>
      <c r="M17" s="1" t="str">
        <f t="shared" si="0"/>
        <v>chr10</v>
      </c>
      <c r="N17" s="1">
        <f t="shared" si="1"/>
        <v>6906147</v>
      </c>
      <c r="O17" s="1">
        <f t="shared" si="1"/>
        <v>6915609</v>
      </c>
      <c r="P17" s="1" t="str">
        <f t="shared" si="1"/>
        <v>ERVK-16</v>
      </c>
      <c r="R17" s="1" t="s">
        <v>69</v>
      </c>
      <c r="S17" s="1">
        <v>6866141</v>
      </c>
      <c r="T17" s="1">
        <v>6875603</v>
      </c>
      <c r="U17" s="1" t="s">
        <v>28</v>
      </c>
    </row>
    <row r="18" spans="1:21">
      <c r="A18" s="1">
        <v>8</v>
      </c>
      <c r="B18" s="1">
        <v>12360863</v>
      </c>
      <c r="C18" s="1">
        <v>12370378</v>
      </c>
      <c r="D18" s="1" t="s">
        <v>45</v>
      </c>
      <c r="E18" s="1" t="s">
        <v>27</v>
      </c>
      <c r="G18" s="1">
        <v>10</v>
      </c>
      <c r="H18" s="1">
        <v>101570559</v>
      </c>
      <c r="I18" s="1">
        <v>101577735</v>
      </c>
      <c r="J18" s="1" t="s">
        <v>30</v>
      </c>
      <c r="K18" s="1" t="s">
        <v>31</v>
      </c>
      <c r="M18" s="1" t="str">
        <f t="shared" si="0"/>
        <v>chr10</v>
      </c>
      <c r="N18" s="1">
        <f t="shared" si="1"/>
        <v>101570559</v>
      </c>
      <c r="O18" s="1">
        <f t="shared" si="1"/>
        <v>101577735</v>
      </c>
      <c r="P18" s="1" t="str">
        <f t="shared" si="1"/>
        <v>ERVK-17</v>
      </c>
      <c r="R18" s="1" t="s">
        <v>69</v>
      </c>
      <c r="S18" s="1">
        <v>101580569</v>
      </c>
      <c r="T18" s="1">
        <v>101587745</v>
      </c>
      <c r="U18" s="1" t="s">
        <v>30</v>
      </c>
    </row>
    <row r="19" spans="1:21">
      <c r="A19" s="1">
        <v>10</v>
      </c>
      <c r="B19" s="1">
        <v>6906147</v>
      </c>
      <c r="C19" s="1">
        <v>6915609</v>
      </c>
      <c r="D19" s="1" t="s">
        <v>28</v>
      </c>
      <c r="E19" s="1" t="s">
        <v>29</v>
      </c>
      <c r="G19" s="1">
        <v>1</v>
      </c>
      <c r="H19" s="1">
        <v>158927199</v>
      </c>
      <c r="I19" s="1">
        <v>158936430</v>
      </c>
      <c r="J19" s="1" t="s">
        <v>9</v>
      </c>
      <c r="K19" s="1" t="s">
        <v>10</v>
      </c>
      <c r="M19" s="1" t="str">
        <f t="shared" si="0"/>
        <v>chr1</v>
      </c>
      <c r="N19" s="1">
        <f t="shared" si="1"/>
        <v>158927199</v>
      </c>
      <c r="O19" s="1">
        <f t="shared" si="1"/>
        <v>158936430</v>
      </c>
      <c r="P19" s="1" t="str">
        <f t="shared" si="1"/>
        <v>ERVK-18</v>
      </c>
      <c r="R19" s="1" t="s">
        <v>64</v>
      </c>
      <c r="S19" s="1">
        <v>160660575</v>
      </c>
      <c r="T19" s="1">
        <v>160669806</v>
      </c>
      <c r="U19" s="1" t="s">
        <v>9</v>
      </c>
    </row>
    <row r="20" spans="1:21">
      <c r="A20" s="1">
        <v>10</v>
      </c>
      <c r="B20" s="1">
        <v>101570559</v>
      </c>
      <c r="C20" s="1">
        <v>101577735</v>
      </c>
      <c r="D20" s="1" t="s">
        <v>30</v>
      </c>
      <c r="E20" s="1" t="s">
        <v>31</v>
      </c>
      <c r="G20" s="1">
        <v>12</v>
      </c>
      <c r="H20" s="1">
        <v>57007509</v>
      </c>
      <c r="I20" s="1">
        <v>57016965</v>
      </c>
      <c r="J20" s="1" t="s">
        <v>33</v>
      </c>
      <c r="K20" s="1" t="s">
        <v>34</v>
      </c>
      <c r="M20" s="1" t="str">
        <f t="shared" si="0"/>
        <v>chr12</v>
      </c>
      <c r="N20" s="1">
        <f t="shared" si="1"/>
        <v>57007509</v>
      </c>
      <c r="O20" s="1">
        <f t="shared" si="1"/>
        <v>57016965</v>
      </c>
      <c r="P20" s="1" t="str">
        <f t="shared" si="1"/>
        <v>ERVK-21</v>
      </c>
      <c r="R20" s="1" t="s">
        <v>70</v>
      </c>
      <c r="S20" s="1">
        <v>58721242</v>
      </c>
      <c r="T20" s="1">
        <v>58730698</v>
      </c>
      <c r="U20" s="1" t="s">
        <v>33</v>
      </c>
    </row>
    <row r="21" spans="1:21">
      <c r="A21" s="1">
        <v>11</v>
      </c>
      <c r="B21" s="1">
        <v>61892538</v>
      </c>
      <c r="C21" s="1">
        <v>61907139</v>
      </c>
      <c r="D21" s="1" t="s">
        <v>46</v>
      </c>
      <c r="E21" s="1" t="s">
        <v>32</v>
      </c>
      <c r="G21" s="1">
        <v>21</v>
      </c>
      <c r="H21" s="1">
        <v>18855530</v>
      </c>
      <c r="I21" s="1">
        <v>18863833</v>
      </c>
      <c r="J21" s="1" t="s">
        <v>37</v>
      </c>
      <c r="K21" s="1" t="s">
        <v>38</v>
      </c>
      <c r="M21" s="1" t="str">
        <f t="shared" si="0"/>
        <v>chr21</v>
      </c>
      <c r="N21" s="1">
        <f t="shared" si="1"/>
        <v>18855530</v>
      </c>
      <c r="O21" s="1">
        <f t="shared" si="1"/>
        <v>18863833</v>
      </c>
      <c r="P21" s="1" t="str">
        <f t="shared" si="1"/>
        <v>ERVK-23</v>
      </c>
      <c r="R21" s="1" t="s">
        <v>71</v>
      </c>
      <c r="S21" s="1">
        <v>19933659</v>
      </c>
      <c r="T21" s="1">
        <v>19941962</v>
      </c>
      <c r="U21" s="1" t="s">
        <v>37</v>
      </c>
    </row>
    <row r="22" spans="1:21">
      <c r="A22" s="1">
        <v>12</v>
      </c>
      <c r="B22" s="1">
        <v>57007509</v>
      </c>
      <c r="C22" s="1">
        <v>57016965</v>
      </c>
      <c r="D22" s="1" t="s">
        <v>33</v>
      </c>
      <c r="E22" s="1" t="s">
        <v>34</v>
      </c>
      <c r="G22" s="1">
        <v>22</v>
      </c>
      <c r="H22" s="1">
        <v>17306187</v>
      </c>
      <c r="I22" s="1">
        <v>17315361</v>
      </c>
      <c r="J22" s="1" t="s">
        <v>39</v>
      </c>
      <c r="K22" s="1" t="s">
        <v>40</v>
      </c>
      <c r="M22" s="1" t="str">
        <f t="shared" si="0"/>
        <v>chr22</v>
      </c>
      <c r="N22" s="1">
        <f t="shared" si="1"/>
        <v>17306187</v>
      </c>
      <c r="O22" s="1">
        <f t="shared" si="1"/>
        <v>17315361</v>
      </c>
      <c r="P22" s="1" t="str">
        <f t="shared" si="1"/>
        <v>ERVK-24</v>
      </c>
      <c r="R22" s="1" t="s">
        <v>72</v>
      </c>
      <c r="S22" s="1">
        <v>18926187</v>
      </c>
      <c r="T22" s="1">
        <v>18935361</v>
      </c>
      <c r="U22" s="1" t="s">
        <v>39</v>
      </c>
    </row>
    <row r="23" spans="1:21">
      <c r="A23" s="1">
        <v>19</v>
      </c>
      <c r="B23" s="1">
        <v>32820338</v>
      </c>
      <c r="C23" s="1">
        <v>32829201</v>
      </c>
      <c r="D23" s="4" t="s">
        <v>47</v>
      </c>
      <c r="E23" s="4" t="s">
        <v>35</v>
      </c>
      <c r="G23" s="1">
        <v>8</v>
      </c>
      <c r="H23" s="1">
        <v>12360863</v>
      </c>
      <c r="I23" s="1">
        <v>12370378</v>
      </c>
      <c r="J23" s="1" t="s">
        <v>45</v>
      </c>
      <c r="K23" s="1" t="s">
        <v>27</v>
      </c>
      <c r="M23" s="1" t="str">
        <f t="shared" si="0"/>
        <v>chr8</v>
      </c>
      <c r="N23" s="1">
        <f t="shared" si="1"/>
        <v>12360863</v>
      </c>
      <c r="O23" s="1">
        <f t="shared" si="1"/>
        <v>12370378</v>
      </c>
      <c r="P23" s="1" t="str">
        <f t="shared" si="1"/>
        <v>ERVK-26</v>
      </c>
      <c r="R23" s="1" t="s">
        <v>73</v>
      </c>
      <c r="S23" s="1">
        <v>12316492</v>
      </c>
      <c r="T23" s="1">
        <v>12326007</v>
      </c>
      <c r="U23" s="1" t="s">
        <v>45</v>
      </c>
    </row>
    <row r="24" spans="1:21">
      <c r="A24" s="1">
        <v>19</v>
      </c>
      <c r="B24" s="1">
        <v>42289389</v>
      </c>
      <c r="C24" s="1">
        <v>42298906</v>
      </c>
      <c r="D24" s="1" t="s">
        <v>48</v>
      </c>
      <c r="E24" s="1" t="s">
        <v>36</v>
      </c>
      <c r="G24" s="1">
        <v>11</v>
      </c>
      <c r="H24" s="1">
        <v>61892538</v>
      </c>
      <c r="I24" s="1">
        <v>61907139</v>
      </c>
      <c r="J24" s="1" t="s">
        <v>46</v>
      </c>
      <c r="K24" s="1" t="s">
        <v>32</v>
      </c>
      <c r="M24" s="1" t="str">
        <f t="shared" si="0"/>
        <v>chr11</v>
      </c>
      <c r="N24" s="1">
        <f t="shared" si="1"/>
        <v>61892538</v>
      </c>
      <c r="O24" s="1">
        <f t="shared" si="1"/>
        <v>61907139</v>
      </c>
      <c r="P24" s="1" t="str">
        <f t="shared" si="1"/>
        <v>ERVK-27</v>
      </c>
      <c r="R24" s="1" t="s">
        <v>74</v>
      </c>
      <c r="S24" s="1">
        <v>62135962</v>
      </c>
      <c r="T24" s="1">
        <v>62150563</v>
      </c>
      <c r="U24" s="1" t="s">
        <v>46</v>
      </c>
    </row>
    <row r="25" spans="1:21">
      <c r="A25" s="1">
        <v>21</v>
      </c>
      <c r="B25" s="1">
        <v>18855530</v>
      </c>
      <c r="C25" s="1">
        <v>18863833</v>
      </c>
      <c r="D25" s="1" t="s">
        <v>37</v>
      </c>
      <c r="E25" s="1" t="s">
        <v>38</v>
      </c>
      <c r="G25" s="1">
        <v>19</v>
      </c>
      <c r="H25" s="1">
        <v>32820338</v>
      </c>
      <c r="I25" s="1">
        <v>32829201</v>
      </c>
      <c r="J25" s="1" t="s">
        <v>47</v>
      </c>
      <c r="K25" s="1" t="s">
        <v>35</v>
      </c>
      <c r="M25" s="1" t="str">
        <f t="shared" si="0"/>
        <v>chr19</v>
      </c>
      <c r="N25" s="1">
        <f t="shared" si="1"/>
        <v>32820338</v>
      </c>
      <c r="O25" s="1">
        <f t="shared" si="1"/>
        <v>32829201</v>
      </c>
      <c r="P25" s="1" t="str">
        <f t="shared" si="1"/>
        <v>ERVK-28</v>
      </c>
      <c r="R25" s="1" t="s">
        <v>75</v>
      </c>
      <c r="S25" s="1">
        <v>28128498</v>
      </c>
      <c r="T25" s="1">
        <v>28137361</v>
      </c>
      <c r="U25" s="1" t="s">
        <v>47</v>
      </c>
    </row>
    <row r="26" spans="1:21">
      <c r="A26" s="1">
        <v>22</v>
      </c>
      <c r="B26" s="1">
        <v>17306187</v>
      </c>
      <c r="C26" s="1">
        <v>17315361</v>
      </c>
      <c r="D26" s="1" t="s">
        <v>39</v>
      </c>
      <c r="E26" s="1" t="s">
        <v>40</v>
      </c>
      <c r="G26" s="1">
        <v>19</v>
      </c>
      <c r="H26" s="1">
        <v>42289389</v>
      </c>
      <c r="I26" s="1">
        <v>42298906</v>
      </c>
      <c r="J26" s="1" t="s">
        <v>48</v>
      </c>
      <c r="K26" s="1" t="s">
        <v>36</v>
      </c>
      <c r="M26" s="1" t="str">
        <f t="shared" si="0"/>
        <v>chr19</v>
      </c>
      <c r="N26" s="1">
        <f t="shared" si="1"/>
        <v>42289389</v>
      </c>
      <c r="O26" s="1">
        <f t="shared" si="1"/>
        <v>42298906</v>
      </c>
      <c r="P26" s="1" t="str">
        <f t="shared" si="1"/>
        <v>ERVK-29</v>
      </c>
      <c r="R26" s="1" t="s">
        <v>75</v>
      </c>
      <c r="S26" s="1">
        <v>37597549</v>
      </c>
      <c r="T26" s="1">
        <v>37607066</v>
      </c>
      <c r="U26" s="1" t="s">
        <v>48</v>
      </c>
    </row>
    <row r="28" spans="1:21">
      <c r="G28" s="2" t="s">
        <v>158</v>
      </c>
    </row>
    <row r="29" spans="1:21">
      <c r="G29" s="3" t="s">
        <v>1</v>
      </c>
      <c r="H29" s="3" t="s">
        <v>2</v>
      </c>
      <c r="I29" s="3" t="s">
        <v>3</v>
      </c>
      <c r="J29" s="3" t="s">
        <v>0</v>
      </c>
      <c r="K29" s="3" t="s">
        <v>4</v>
      </c>
    </row>
    <row r="30" spans="1:21">
      <c r="G30" s="1">
        <v>3</v>
      </c>
      <c r="H30" s="1">
        <v>9864346</v>
      </c>
      <c r="I30" s="1">
        <v>9871236</v>
      </c>
      <c r="J30" s="1" t="s">
        <v>50</v>
      </c>
      <c r="K30" s="1" t="s">
        <v>51</v>
      </c>
      <c r="M30" s="1" t="str">
        <f t="shared" si="0"/>
        <v>chr3</v>
      </c>
      <c r="N30" s="1">
        <f t="shared" si="1"/>
        <v>9864346</v>
      </c>
      <c r="O30" s="1">
        <f t="shared" si="1"/>
        <v>9871236</v>
      </c>
      <c r="P30" s="1" t="str">
        <f t="shared" si="1"/>
        <v xml:space="preserve">ERVK-2  </v>
      </c>
      <c r="R30" s="1" t="s">
        <v>65</v>
      </c>
      <c r="S30" s="1">
        <v>9889346</v>
      </c>
      <c r="T30" s="1">
        <v>9896236</v>
      </c>
      <c r="U30" s="1" t="s">
        <v>76</v>
      </c>
    </row>
    <row r="31" spans="1:21">
      <c r="G31" s="1">
        <v>8</v>
      </c>
      <c r="H31" s="1">
        <v>7342807</v>
      </c>
      <c r="I31" s="1">
        <v>7352269</v>
      </c>
      <c r="J31" s="4" t="s">
        <v>52</v>
      </c>
      <c r="K31" s="4" t="s">
        <v>27</v>
      </c>
      <c r="L31" s="5" t="s">
        <v>58</v>
      </c>
      <c r="M31" s="1" t="str">
        <f t="shared" si="0"/>
        <v>chr8</v>
      </c>
      <c r="N31" s="1">
        <f t="shared" si="1"/>
        <v>7342807</v>
      </c>
      <c r="O31" s="1">
        <f t="shared" si="1"/>
        <v>7352269</v>
      </c>
      <c r="P31" s="1" t="str">
        <f t="shared" si="1"/>
        <v>ERVK-8</v>
      </c>
      <c r="R31" s="1" t="s">
        <v>73</v>
      </c>
      <c r="S31" s="1">
        <v>7355397</v>
      </c>
      <c r="T31" s="1">
        <v>7364859</v>
      </c>
      <c r="U31" s="1" t="s">
        <v>52</v>
      </c>
    </row>
    <row r="32" spans="1:21">
      <c r="G32" s="1">
        <v>4</v>
      </c>
      <c r="H32" s="1">
        <v>166136290</v>
      </c>
      <c r="I32" s="1">
        <v>166143518</v>
      </c>
      <c r="J32" s="1" t="s">
        <v>53</v>
      </c>
      <c r="K32" s="1" t="s">
        <v>54</v>
      </c>
      <c r="M32" s="1" t="str">
        <f t="shared" si="0"/>
        <v>chr4</v>
      </c>
      <c r="N32" s="1">
        <f t="shared" si="1"/>
        <v>166136290</v>
      </c>
      <c r="O32" s="1">
        <f t="shared" si="1"/>
        <v>166143518</v>
      </c>
      <c r="P32" s="1" t="str">
        <f t="shared" si="1"/>
        <v>ERVK-12</v>
      </c>
      <c r="R32" s="1" t="s">
        <v>77</v>
      </c>
      <c r="S32" s="1">
        <v>165916840</v>
      </c>
      <c r="T32" s="1">
        <v>165924068</v>
      </c>
      <c r="U32" s="1" t="s">
        <v>53</v>
      </c>
    </row>
    <row r="33" spans="7:21">
      <c r="G33" s="1">
        <v>19</v>
      </c>
      <c r="H33" s="1">
        <v>32820338</v>
      </c>
      <c r="I33" s="1">
        <v>32829201</v>
      </c>
      <c r="J33" s="4" t="s">
        <v>55</v>
      </c>
      <c r="K33" s="4" t="s">
        <v>57</v>
      </c>
      <c r="M33" s="1" t="str">
        <f t="shared" si="0"/>
        <v>chr19</v>
      </c>
      <c r="N33" s="1">
        <f t="shared" si="1"/>
        <v>32820338</v>
      </c>
      <c r="O33" s="1">
        <f t="shared" si="1"/>
        <v>32829201</v>
      </c>
      <c r="P33" s="1" t="str">
        <f t="shared" si="1"/>
        <v>ERVK-19</v>
      </c>
      <c r="R33" s="1" t="s">
        <v>75</v>
      </c>
      <c r="S33" s="1">
        <v>28128498</v>
      </c>
      <c r="T33" s="1">
        <v>28137361</v>
      </c>
      <c r="U33" s="1" t="s">
        <v>55</v>
      </c>
    </row>
    <row r="34" spans="7:21">
      <c r="G34" s="1">
        <v>11</v>
      </c>
      <c r="H34" s="1">
        <v>118096934</v>
      </c>
      <c r="I34" s="1">
        <v>118106093</v>
      </c>
      <c r="J34" s="1" t="s">
        <v>56</v>
      </c>
      <c r="K34" s="1" t="s">
        <v>59</v>
      </c>
      <c r="M34" s="1" t="str">
        <f t="shared" si="0"/>
        <v>chr11</v>
      </c>
      <c r="N34" s="1">
        <f t="shared" si="1"/>
        <v>118096934</v>
      </c>
      <c r="O34" s="1">
        <f t="shared" si="1"/>
        <v>118106093</v>
      </c>
      <c r="P34" s="1" t="str">
        <f t="shared" si="1"/>
        <v>ERVK-20</v>
      </c>
      <c r="R34" s="1" t="s">
        <v>74</v>
      </c>
      <c r="S34" s="1">
        <v>118591724</v>
      </c>
      <c r="T34" s="1">
        <v>118600883</v>
      </c>
      <c r="U34" s="1" t="s">
        <v>56</v>
      </c>
    </row>
    <row r="35" spans="7:21">
      <c r="G35" s="1">
        <v>19</v>
      </c>
      <c r="H35" s="1">
        <v>336099</v>
      </c>
      <c r="I35" s="1">
        <v>338637</v>
      </c>
      <c r="J35" s="1" t="s">
        <v>60</v>
      </c>
      <c r="K35" s="1" t="s">
        <v>62</v>
      </c>
      <c r="M35" s="1" t="str">
        <f t="shared" si="0"/>
        <v>chr19</v>
      </c>
      <c r="N35" s="1">
        <f t="shared" si="1"/>
        <v>336099</v>
      </c>
      <c r="O35" s="1">
        <f t="shared" si="1"/>
        <v>338637</v>
      </c>
      <c r="P35" s="1" t="str">
        <f t="shared" si="1"/>
        <v>ERVK-22</v>
      </c>
      <c r="R35" s="1" t="s">
        <v>75</v>
      </c>
      <c r="S35" s="1">
        <v>385099</v>
      </c>
      <c r="T35" s="1">
        <v>387637</v>
      </c>
      <c r="U35" s="1" t="s">
        <v>60</v>
      </c>
    </row>
    <row r="36" spans="7:21">
      <c r="G36" s="1">
        <v>11</v>
      </c>
      <c r="H36" s="1">
        <v>101071004</v>
      </c>
      <c r="I36" s="1">
        <v>101080469</v>
      </c>
      <c r="J36" s="1" t="s">
        <v>61</v>
      </c>
      <c r="K36" s="1" t="s">
        <v>63</v>
      </c>
      <c r="M36" s="1" t="str">
        <f t="shared" si="0"/>
        <v>chr11</v>
      </c>
      <c r="N36" s="1">
        <f t="shared" si="1"/>
        <v>101071004</v>
      </c>
      <c r="O36" s="1">
        <f t="shared" si="1"/>
        <v>101080469</v>
      </c>
      <c r="P36" s="1" t="str">
        <f t="shared" si="1"/>
        <v>ERVK-25</v>
      </c>
      <c r="R36" s="1" t="s">
        <v>74</v>
      </c>
      <c r="S36" s="1">
        <v>101565794</v>
      </c>
      <c r="T36" s="1">
        <v>101575259</v>
      </c>
      <c r="U36" s="1" t="s">
        <v>61</v>
      </c>
    </row>
    <row r="37" spans="7:21">
      <c r="M37"/>
      <c r="N37"/>
      <c r="O37"/>
      <c r="P37"/>
    </row>
    <row r="38" spans="7:21">
      <c r="G38" s="2" t="s">
        <v>152</v>
      </c>
      <c r="M38"/>
      <c r="N38"/>
      <c r="O38"/>
      <c r="P38"/>
    </row>
    <row r="39" spans="7:21">
      <c r="M39"/>
      <c r="N39"/>
      <c r="O39"/>
      <c r="P39"/>
    </row>
    <row r="40" spans="7:21">
      <c r="G40" s="1">
        <v>2</v>
      </c>
      <c r="H40" s="1">
        <v>187093879</v>
      </c>
      <c r="I40" s="1">
        <v>187095344</v>
      </c>
      <c r="J40" s="4" t="s">
        <v>153</v>
      </c>
      <c r="K40" s="4" t="s">
        <v>154</v>
      </c>
      <c r="L40" s="5" t="s">
        <v>155</v>
      </c>
      <c r="M40" s="1" t="str">
        <f t="shared" ref="M40:M41" si="2">"chr"&amp;G40</f>
        <v>chr2</v>
      </c>
      <c r="N40" s="1">
        <f t="shared" ref="N40:N41" si="3">H40</f>
        <v>187093879</v>
      </c>
      <c r="O40" s="1">
        <f t="shared" ref="O40:O41" si="4">I40</f>
        <v>187095344</v>
      </c>
      <c r="P40" s="1" t="str">
        <f t="shared" ref="P40:P41" si="5">J40</f>
        <v>ERVK-30</v>
      </c>
      <c r="R40" s="1" t="s">
        <v>78</v>
      </c>
      <c r="S40" s="1">
        <v>187385634</v>
      </c>
      <c r="T40" s="1">
        <v>187387099</v>
      </c>
      <c r="U40" s="1" t="s">
        <v>153</v>
      </c>
    </row>
    <row r="41" spans="7:21">
      <c r="G41" s="1">
        <v>5</v>
      </c>
      <c r="H41" s="1">
        <v>92818136</v>
      </c>
      <c r="I41" s="1">
        <v>92819668</v>
      </c>
      <c r="J41" s="4" t="s">
        <v>156</v>
      </c>
      <c r="K41" s="4" t="s">
        <v>157</v>
      </c>
      <c r="L41" s="5" t="s">
        <v>155</v>
      </c>
      <c r="M41" s="1" t="str">
        <f t="shared" si="2"/>
        <v>chr5</v>
      </c>
      <c r="N41" s="1">
        <f t="shared" si="3"/>
        <v>92818136</v>
      </c>
      <c r="O41" s="1">
        <f t="shared" si="4"/>
        <v>92819668</v>
      </c>
      <c r="P41" s="1" t="str">
        <f t="shared" si="5"/>
        <v>ERVK-31</v>
      </c>
      <c r="R41" s="1" t="s">
        <v>68</v>
      </c>
      <c r="S41" s="1">
        <v>92792380</v>
      </c>
      <c r="T41" s="1">
        <v>92793912</v>
      </c>
      <c r="U41" s="1" t="s">
        <v>156</v>
      </c>
    </row>
  </sheetData>
  <sortState ref="G5:K26">
    <sortCondition ref="J5:J26"/>
  </sortState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zoomScale="125" zoomScaleNormal="125" zoomScalePageLayoutView="125" workbookViewId="0">
      <selection activeCell="A3" sqref="A3"/>
    </sheetView>
  </sheetViews>
  <sheetFormatPr baseColWidth="10" defaultRowHeight="15" x14ac:dyDescent="0"/>
  <cols>
    <col min="1" max="1" width="7.1640625" style="1" customWidth="1"/>
    <col min="2" max="5" width="10.5" style="1" bestFit="1" customWidth="1"/>
    <col min="6" max="6" width="10.83203125" style="1"/>
    <col min="7" max="7" width="6.1640625" style="1" customWidth="1"/>
    <col min="8" max="9" width="10.5" style="1" bestFit="1" customWidth="1"/>
    <col min="10" max="11" width="8.83203125" style="1" bestFit="1" customWidth="1"/>
    <col min="12" max="12" width="10.83203125" style="1"/>
    <col min="13" max="13" width="6.1640625" style="1" customWidth="1"/>
    <col min="14" max="15" width="10.5" style="1" bestFit="1" customWidth="1"/>
    <col min="16" max="16" width="8.83203125" style="1" bestFit="1" customWidth="1"/>
    <col min="17" max="16384" width="10.83203125" style="1"/>
  </cols>
  <sheetData>
    <row r="1" spans="1:17" ht="18">
      <c r="A1" s="6" t="s">
        <v>150</v>
      </c>
    </row>
    <row r="2" spans="1:17" ht="18">
      <c r="A2" s="7" t="s">
        <v>159</v>
      </c>
    </row>
    <row r="3" spans="1:17">
      <c r="G3" s="2" t="s">
        <v>49</v>
      </c>
      <c r="M3" s="2" t="s">
        <v>148</v>
      </c>
    </row>
    <row r="4" spans="1:17">
      <c r="A4" s="3" t="s">
        <v>96</v>
      </c>
    </row>
    <row r="5" spans="1:17">
      <c r="A5" s="3" t="s">
        <v>1</v>
      </c>
      <c r="B5" s="3" t="s">
        <v>2</v>
      </c>
      <c r="C5" s="3" t="s">
        <v>3</v>
      </c>
      <c r="D5" s="3" t="s">
        <v>0</v>
      </c>
      <c r="E5" s="3" t="s">
        <v>4</v>
      </c>
      <c r="G5" s="3" t="s">
        <v>1</v>
      </c>
      <c r="H5" s="3" t="s">
        <v>2</v>
      </c>
      <c r="I5" s="3" t="s">
        <v>3</v>
      </c>
      <c r="J5" s="3" t="s">
        <v>0</v>
      </c>
      <c r="K5" s="3" t="s">
        <v>4</v>
      </c>
      <c r="M5" s="3" t="s">
        <v>1</v>
      </c>
      <c r="N5" s="3" t="s">
        <v>2</v>
      </c>
      <c r="O5" s="3" t="s">
        <v>3</v>
      </c>
      <c r="P5" s="3" t="s">
        <v>0</v>
      </c>
      <c r="Q5" s="8"/>
    </row>
    <row r="6" spans="1:17">
      <c r="A6" s="1" t="s">
        <v>65</v>
      </c>
      <c r="B6" s="1">
        <v>143021321</v>
      </c>
      <c r="C6" s="1">
        <v>143023045</v>
      </c>
      <c r="D6" s="1" t="s">
        <v>79</v>
      </c>
      <c r="E6" s="1" t="s">
        <v>140</v>
      </c>
      <c r="G6" s="1" t="s">
        <v>66</v>
      </c>
      <c r="H6" s="1">
        <v>91935248</v>
      </c>
      <c r="I6" s="1">
        <v>91945442</v>
      </c>
      <c r="J6" s="1" t="s">
        <v>82</v>
      </c>
      <c r="K6" s="1" t="s">
        <v>81</v>
      </c>
      <c r="M6" s="1" t="s">
        <v>66</v>
      </c>
      <c r="N6" s="1">
        <v>92097312</v>
      </c>
      <c r="O6" s="1">
        <v>92107506</v>
      </c>
      <c r="P6" s="1" t="s">
        <v>82</v>
      </c>
    </row>
    <row r="7" spans="1:17">
      <c r="A7" s="1" t="s">
        <v>67</v>
      </c>
      <c r="B7" s="1">
        <v>106782704</v>
      </c>
      <c r="C7" s="1">
        <v>106790382</v>
      </c>
      <c r="D7" s="1" t="s">
        <v>80</v>
      </c>
      <c r="E7" s="1" t="s">
        <v>141</v>
      </c>
      <c r="G7" s="1" t="s">
        <v>94</v>
      </c>
      <c r="H7" s="1">
        <v>106182016</v>
      </c>
      <c r="I7" s="1">
        <v>106184757</v>
      </c>
      <c r="J7" s="1" t="s">
        <v>95</v>
      </c>
      <c r="K7" s="1" t="s">
        <v>143</v>
      </c>
      <c r="M7" s="1" t="s">
        <v>94</v>
      </c>
      <c r="N7" s="1">
        <v>106295360</v>
      </c>
      <c r="O7" s="1">
        <v>106298101</v>
      </c>
      <c r="P7" s="1" t="s">
        <v>95</v>
      </c>
    </row>
    <row r="8" spans="1:17">
      <c r="A8" s="1" t="s">
        <v>66</v>
      </c>
      <c r="B8" s="1">
        <v>91935248</v>
      </c>
      <c r="C8" s="1">
        <v>91945442</v>
      </c>
      <c r="D8" s="1" t="s">
        <v>82</v>
      </c>
      <c r="E8" s="1" t="s">
        <v>81</v>
      </c>
      <c r="G8" s="1" t="s">
        <v>65</v>
      </c>
      <c r="H8" s="1">
        <v>143021321</v>
      </c>
      <c r="I8" s="1">
        <v>143023045</v>
      </c>
      <c r="J8" s="1" t="s">
        <v>79</v>
      </c>
      <c r="K8" s="1" t="s">
        <v>97</v>
      </c>
      <c r="M8" s="1" t="s">
        <v>65</v>
      </c>
      <c r="N8" s="1">
        <v>141538631</v>
      </c>
      <c r="O8" s="1">
        <v>141540355</v>
      </c>
      <c r="P8" s="1" t="s">
        <v>79</v>
      </c>
    </row>
    <row r="9" spans="1:17">
      <c r="A9" s="1" t="s">
        <v>70</v>
      </c>
      <c r="B9" s="1">
        <v>49582525</v>
      </c>
      <c r="C9" s="1">
        <v>49593417</v>
      </c>
      <c r="D9" s="1" t="s">
        <v>85</v>
      </c>
      <c r="E9" s="1" t="s">
        <v>84</v>
      </c>
      <c r="G9" s="1" t="s">
        <v>89</v>
      </c>
      <c r="H9" s="1">
        <v>53384371</v>
      </c>
      <c r="I9" s="1">
        <v>53391866</v>
      </c>
      <c r="J9" s="1" t="s">
        <v>91</v>
      </c>
      <c r="K9" s="1" t="s">
        <v>90</v>
      </c>
      <c r="M9" s="1" t="s">
        <v>89</v>
      </c>
      <c r="N9" s="1">
        <v>55597079</v>
      </c>
      <c r="O9" s="1">
        <v>55604574</v>
      </c>
      <c r="P9" s="1" t="s">
        <v>91</v>
      </c>
    </row>
    <row r="10" spans="1:17">
      <c r="A10" s="1" t="s">
        <v>86</v>
      </c>
      <c r="B10" s="1">
        <v>44558438</v>
      </c>
      <c r="C10" s="1">
        <v>44562647</v>
      </c>
      <c r="D10" s="1" t="s">
        <v>88</v>
      </c>
      <c r="E10" s="1" t="s">
        <v>87</v>
      </c>
      <c r="G10" s="1" t="s">
        <v>65</v>
      </c>
      <c r="H10" s="1">
        <v>180255072</v>
      </c>
      <c r="I10" s="1">
        <v>180260637</v>
      </c>
      <c r="J10" s="1" t="s">
        <v>113</v>
      </c>
      <c r="K10" s="1" t="s">
        <v>112</v>
      </c>
      <c r="M10" s="1" t="s">
        <v>65</v>
      </c>
      <c r="N10" s="1">
        <v>178772378</v>
      </c>
      <c r="O10" s="1">
        <v>178777943</v>
      </c>
      <c r="P10" s="1" t="s">
        <v>113</v>
      </c>
    </row>
    <row r="11" spans="1:17">
      <c r="A11" s="1" t="s">
        <v>89</v>
      </c>
      <c r="B11" s="1">
        <v>53384371</v>
      </c>
      <c r="C11" s="1">
        <v>53391866</v>
      </c>
      <c r="D11" s="1" t="s">
        <v>91</v>
      </c>
      <c r="E11" s="1" t="s">
        <v>90</v>
      </c>
      <c r="G11" s="1" t="s">
        <v>74</v>
      </c>
      <c r="H11" s="1">
        <v>77247020</v>
      </c>
      <c r="I11" s="1">
        <v>77252172</v>
      </c>
      <c r="J11" s="1" t="s">
        <v>128</v>
      </c>
      <c r="K11" s="1" t="s">
        <v>127</v>
      </c>
      <c r="M11" s="1" t="s">
        <v>74</v>
      </c>
      <c r="N11" s="1">
        <v>77569372</v>
      </c>
      <c r="O11" s="1">
        <v>77574524</v>
      </c>
      <c r="P11" s="1" t="s">
        <v>128</v>
      </c>
    </row>
    <row r="12" spans="1:17">
      <c r="A12" s="1" t="s">
        <v>92</v>
      </c>
      <c r="B12" s="1">
        <v>32764002</v>
      </c>
      <c r="C12" s="1">
        <v>32767735</v>
      </c>
      <c r="D12" s="1" t="s">
        <v>93</v>
      </c>
      <c r="E12" s="1" t="s">
        <v>142</v>
      </c>
      <c r="G12" s="1" t="s">
        <v>64</v>
      </c>
      <c r="H12" s="1">
        <v>46624040</v>
      </c>
      <c r="I12" s="1">
        <v>46629585</v>
      </c>
      <c r="J12" s="1" t="s">
        <v>99</v>
      </c>
      <c r="K12" s="1" t="s">
        <v>139</v>
      </c>
      <c r="M12" s="1" t="s">
        <v>64</v>
      </c>
      <c r="N12" s="1">
        <v>46851453</v>
      </c>
      <c r="O12" s="1">
        <v>46856998</v>
      </c>
      <c r="P12" s="1" t="s">
        <v>99</v>
      </c>
    </row>
    <row r="13" spans="1:17">
      <c r="A13" s="1" t="s">
        <v>94</v>
      </c>
      <c r="B13" s="1">
        <v>106182016</v>
      </c>
      <c r="C13" s="1">
        <v>106184757</v>
      </c>
      <c r="D13" s="1" t="s">
        <v>95</v>
      </c>
      <c r="E13" s="1" t="s">
        <v>143</v>
      </c>
      <c r="G13" s="1" t="s">
        <v>64</v>
      </c>
      <c r="H13" s="1">
        <v>89162799</v>
      </c>
      <c r="I13" s="1">
        <v>89170152</v>
      </c>
      <c r="J13" s="1" t="s">
        <v>100</v>
      </c>
      <c r="K13" s="1" t="s">
        <v>144</v>
      </c>
      <c r="M13" s="1" t="s">
        <v>64</v>
      </c>
      <c r="N13" s="1">
        <v>89390211</v>
      </c>
      <c r="O13" s="1">
        <v>89397564</v>
      </c>
      <c r="P13" s="1" t="s">
        <v>100</v>
      </c>
    </row>
    <row r="14" spans="1:17">
      <c r="G14" s="1" t="s">
        <v>64</v>
      </c>
      <c r="H14" s="1">
        <v>176376975</v>
      </c>
      <c r="I14" s="1">
        <v>176378817</v>
      </c>
      <c r="J14" s="1" t="s">
        <v>102</v>
      </c>
      <c r="K14" s="1" t="s">
        <v>101</v>
      </c>
      <c r="M14" s="1" t="s">
        <v>64</v>
      </c>
      <c r="N14" s="1">
        <v>178110352</v>
      </c>
      <c r="O14" s="1">
        <v>178112194</v>
      </c>
      <c r="P14" s="1" t="s">
        <v>102</v>
      </c>
    </row>
    <row r="15" spans="1:17">
      <c r="G15" s="1" t="s">
        <v>64</v>
      </c>
      <c r="H15" s="1">
        <v>204102082</v>
      </c>
      <c r="I15" s="1">
        <v>204111558</v>
      </c>
      <c r="J15" s="1" t="s">
        <v>104</v>
      </c>
      <c r="K15" s="1" t="s">
        <v>103</v>
      </c>
      <c r="M15" s="1" t="s">
        <v>64</v>
      </c>
      <c r="N15" s="1">
        <v>205835459</v>
      </c>
      <c r="O15" s="1">
        <v>205844935</v>
      </c>
      <c r="P15" s="1" t="s">
        <v>104</v>
      </c>
    </row>
    <row r="16" spans="1:17">
      <c r="A16" s="3" t="s">
        <v>138</v>
      </c>
      <c r="G16" s="1" t="s">
        <v>64</v>
      </c>
      <c r="H16" s="1">
        <v>225878837</v>
      </c>
      <c r="I16" s="1">
        <v>225887883</v>
      </c>
      <c r="J16" s="1" t="s">
        <v>106</v>
      </c>
      <c r="K16" s="1" t="s">
        <v>105</v>
      </c>
      <c r="M16" s="1" t="s">
        <v>64</v>
      </c>
      <c r="N16" s="1">
        <v>227812214</v>
      </c>
      <c r="O16" s="1">
        <v>227821260</v>
      </c>
      <c r="P16" s="1" t="s">
        <v>106</v>
      </c>
    </row>
    <row r="17" spans="1:16">
      <c r="A17" s="3" t="s">
        <v>1</v>
      </c>
      <c r="B17" s="3" t="s">
        <v>2</v>
      </c>
      <c r="C17" s="3" t="s">
        <v>3</v>
      </c>
      <c r="D17" s="3" t="s">
        <v>0</v>
      </c>
      <c r="E17" s="3" t="s">
        <v>4</v>
      </c>
      <c r="G17" s="1" t="s">
        <v>78</v>
      </c>
      <c r="H17" s="1">
        <v>53837283</v>
      </c>
      <c r="I17" s="1">
        <v>53842066</v>
      </c>
      <c r="J17" s="1" t="s">
        <v>108</v>
      </c>
      <c r="K17" s="1" t="s">
        <v>107</v>
      </c>
      <c r="M17" s="1" t="s">
        <v>78</v>
      </c>
      <c r="N17" s="1">
        <v>53983779</v>
      </c>
      <c r="O17" s="1">
        <v>53988562</v>
      </c>
      <c r="P17" s="1" t="s">
        <v>108</v>
      </c>
    </row>
    <row r="18" spans="1:16">
      <c r="A18" s="1" t="s">
        <v>64</v>
      </c>
      <c r="B18" s="1">
        <v>46624040</v>
      </c>
      <c r="C18" s="1">
        <v>46629585</v>
      </c>
      <c r="D18" s="1" t="s">
        <v>99</v>
      </c>
      <c r="E18" s="1" t="s">
        <v>139</v>
      </c>
      <c r="G18" s="1" t="s">
        <v>78</v>
      </c>
      <c r="H18" s="1">
        <v>112513393</v>
      </c>
      <c r="I18" s="1">
        <v>112519037</v>
      </c>
      <c r="J18" s="1" t="s">
        <v>110</v>
      </c>
      <c r="K18" s="1" t="s">
        <v>109</v>
      </c>
      <c r="M18" s="1" t="s">
        <v>78</v>
      </c>
      <c r="N18" s="1">
        <v>112796922</v>
      </c>
      <c r="O18" s="1">
        <v>112802566</v>
      </c>
      <c r="P18" s="1" t="s">
        <v>110</v>
      </c>
    </row>
    <row r="19" spans="1:16">
      <c r="A19" s="1" t="s">
        <v>64</v>
      </c>
      <c r="B19" s="1">
        <v>89162799</v>
      </c>
      <c r="C19" s="1">
        <v>89170152</v>
      </c>
      <c r="D19" s="1" t="s">
        <v>100</v>
      </c>
      <c r="E19" s="1" t="s">
        <v>144</v>
      </c>
      <c r="G19" s="1" t="s">
        <v>78</v>
      </c>
      <c r="H19" s="1">
        <v>177982218</v>
      </c>
      <c r="I19" s="1">
        <v>177986132</v>
      </c>
      <c r="J19" s="1" t="s">
        <v>111</v>
      </c>
      <c r="K19" s="1" t="s">
        <v>145</v>
      </c>
      <c r="M19" s="1" t="s">
        <v>78</v>
      </c>
      <c r="N19" s="1">
        <v>178273972</v>
      </c>
      <c r="O19" s="1">
        <v>178277886</v>
      </c>
      <c r="P19" s="1" t="s">
        <v>111</v>
      </c>
    </row>
    <row r="20" spans="1:16">
      <c r="A20" s="1" t="s">
        <v>64</v>
      </c>
      <c r="B20" s="1">
        <v>176376975</v>
      </c>
      <c r="C20" s="1">
        <v>176378817</v>
      </c>
      <c r="D20" s="1" t="s">
        <v>102</v>
      </c>
      <c r="E20" s="1" t="s">
        <v>101</v>
      </c>
      <c r="G20" s="1" t="s">
        <v>77</v>
      </c>
      <c r="H20" s="1">
        <v>8472991</v>
      </c>
      <c r="I20" s="1">
        <v>8480392</v>
      </c>
      <c r="J20" s="1" t="s">
        <v>115</v>
      </c>
      <c r="K20" s="1" t="s">
        <v>114</v>
      </c>
      <c r="M20" s="1" t="s">
        <v>77</v>
      </c>
      <c r="N20" s="1">
        <v>8422091</v>
      </c>
      <c r="O20" s="1">
        <v>8429492</v>
      </c>
      <c r="P20" s="1" t="s">
        <v>115</v>
      </c>
    </row>
    <row r="21" spans="1:16">
      <c r="A21" s="1" t="s">
        <v>64</v>
      </c>
      <c r="B21" s="1">
        <v>204102082</v>
      </c>
      <c r="C21" s="1">
        <v>204111558</v>
      </c>
      <c r="D21" s="1" t="s">
        <v>104</v>
      </c>
      <c r="E21" s="1" t="s">
        <v>103</v>
      </c>
      <c r="G21" s="1" t="s">
        <v>77</v>
      </c>
      <c r="H21" s="1">
        <v>134022904</v>
      </c>
      <c r="I21" s="1">
        <v>134029743</v>
      </c>
      <c r="J21" s="1" t="s">
        <v>117</v>
      </c>
      <c r="K21" s="1" t="s">
        <v>116</v>
      </c>
      <c r="M21" s="1" t="s">
        <v>77</v>
      </c>
      <c r="N21" s="1">
        <v>133803454</v>
      </c>
      <c r="O21" s="1">
        <v>133810293</v>
      </c>
      <c r="P21" s="1" t="s">
        <v>117</v>
      </c>
    </row>
    <row r="22" spans="1:16">
      <c r="A22" s="1" t="s">
        <v>64</v>
      </c>
      <c r="B22" s="1">
        <v>225878837</v>
      </c>
      <c r="C22" s="1">
        <v>225887883</v>
      </c>
      <c r="D22" s="1" t="s">
        <v>106</v>
      </c>
      <c r="E22" s="1" t="s">
        <v>105</v>
      </c>
      <c r="G22" s="1" t="s">
        <v>67</v>
      </c>
      <c r="H22" s="1">
        <v>106782704</v>
      </c>
      <c r="I22" s="1">
        <v>106790382</v>
      </c>
      <c r="J22" s="1" t="s">
        <v>80</v>
      </c>
      <c r="K22" s="1" t="s">
        <v>141</v>
      </c>
      <c r="M22" s="1" t="s">
        <v>67</v>
      </c>
      <c r="N22" s="1">
        <v>106676011</v>
      </c>
      <c r="O22" s="1">
        <v>106683689</v>
      </c>
      <c r="P22" s="1" t="s">
        <v>80</v>
      </c>
    </row>
    <row r="23" spans="1:16">
      <c r="A23" s="1" t="s">
        <v>78</v>
      </c>
      <c r="B23" s="1">
        <v>53837283</v>
      </c>
      <c r="C23" s="1">
        <v>53842066</v>
      </c>
      <c r="D23" s="1" t="s">
        <v>108</v>
      </c>
      <c r="E23" s="1" t="s">
        <v>107</v>
      </c>
      <c r="G23" s="1" t="s">
        <v>67</v>
      </c>
      <c r="H23" s="1">
        <v>143442630</v>
      </c>
      <c r="I23" s="1">
        <v>143450542</v>
      </c>
      <c r="J23" s="1" t="s">
        <v>118</v>
      </c>
      <c r="K23" s="1" t="s">
        <v>146</v>
      </c>
      <c r="M23" s="1" t="s">
        <v>67</v>
      </c>
      <c r="N23" s="1">
        <v>143400937</v>
      </c>
      <c r="O23" s="1">
        <v>143408849</v>
      </c>
      <c r="P23" s="1" t="s">
        <v>118</v>
      </c>
    </row>
    <row r="24" spans="1:16">
      <c r="A24" s="1" t="s">
        <v>78</v>
      </c>
      <c r="B24" s="1">
        <v>112513393</v>
      </c>
      <c r="C24" s="1">
        <v>112519037</v>
      </c>
      <c r="D24" s="1" t="s">
        <v>110</v>
      </c>
      <c r="E24" s="1" t="s">
        <v>109</v>
      </c>
      <c r="G24" s="1" t="s">
        <v>67</v>
      </c>
      <c r="H24" s="1">
        <v>167224557</v>
      </c>
      <c r="I24" s="1">
        <v>167231731</v>
      </c>
      <c r="J24" s="1" t="s">
        <v>120</v>
      </c>
      <c r="K24" s="1" t="s">
        <v>119</v>
      </c>
      <c r="M24" s="1" t="s">
        <v>67</v>
      </c>
      <c r="N24" s="1">
        <v>167304567</v>
      </c>
      <c r="O24" s="1">
        <v>167311741</v>
      </c>
      <c r="P24" s="1" t="s">
        <v>120</v>
      </c>
    </row>
    <row r="25" spans="1:16">
      <c r="A25" s="1" t="s">
        <v>78</v>
      </c>
      <c r="B25" s="1">
        <v>177982218</v>
      </c>
      <c r="C25" s="1">
        <v>177986132</v>
      </c>
      <c r="D25" s="1" t="s">
        <v>111</v>
      </c>
      <c r="E25" s="1" t="s">
        <v>145</v>
      </c>
      <c r="G25" s="1" t="s">
        <v>73</v>
      </c>
      <c r="H25" s="1">
        <v>74896653</v>
      </c>
      <c r="I25" s="1">
        <v>74897392</v>
      </c>
      <c r="J25" s="1" t="s">
        <v>122</v>
      </c>
      <c r="K25" s="1" t="s">
        <v>121</v>
      </c>
      <c r="M25" s="1" t="s">
        <v>73</v>
      </c>
      <c r="N25" s="1">
        <v>74734099</v>
      </c>
      <c r="O25" s="1">
        <v>74734838</v>
      </c>
      <c r="P25" s="1" t="s">
        <v>122</v>
      </c>
    </row>
    <row r="26" spans="1:16">
      <c r="A26" s="1" t="s">
        <v>65</v>
      </c>
      <c r="B26" s="1">
        <v>143021321</v>
      </c>
      <c r="C26" s="1">
        <v>143023045</v>
      </c>
      <c r="D26" s="1" t="s">
        <v>79</v>
      </c>
      <c r="E26" s="1" t="s">
        <v>97</v>
      </c>
      <c r="G26" s="1" t="s">
        <v>73</v>
      </c>
      <c r="H26" s="1">
        <v>81814505</v>
      </c>
      <c r="I26" s="1">
        <v>81817982</v>
      </c>
      <c r="J26" s="1" t="s">
        <v>124</v>
      </c>
      <c r="K26" s="1" t="s">
        <v>123</v>
      </c>
      <c r="M26" s="1" t="s">
        <v>73</v>
      </c>
      <c r="N26" s="1">
        <v>81651950</v>
      </c>
      <c r="O26" s="1">
        <v>81655427</v>
      </c>
      <c r="P26" s="1" t="s">
        <v>124</v>
      </c>
    </row>
    <row r="27" spans="1:16">
      <c r="A27" s="1" t="s">
        <v>65</v>
      </c>
      <c r="B27" s="1">
        <v>180255072</v>
      </c>
      <c r="C27" s="1">
        <v>180260637</v>
      </c>
      <c r="D27" s="1" t="s">
        <v>113</v>
      </c>
      <c r="E27" s="1" t="s">
        <v>112</v>
      </c>
      <c r="G27" s="1" t="s">
        <v>83</v>
      </c>
      <c r="H27" s="1">
        <v>35630301</v>
      </c>
      <c r="I27" s="1">
        <v>35632824</v>
      </c>
      <c r="J27" s="1" t="s">
        <v>126</v>
      </c>
      <c r="K27" s="1" t="s">
        <v>125</v>
      </c>
      <c r="M27" s="1" t="s">
        <v>83</v>
      </c>
      <c r="N27" s="1">
        <v>35640301</v>
      </c>
      <c r="O27" s="1">
        <v>35642824</v>
      </c>
      <c r="P27" s="1" t="s">
        <v>126</v>
      </c>
    </row>
    <row r="28" spans="1:16">
      <c r="A28" s="1" t="s">
        <v>77</v>
      </c>
      <c r="B28" s="1">
        <v>8472991</v>
      </c>
      <c r="C28" s="1">
        <v>8480392</v>
      </c>
      <c r="D28" s="1" t="s">
        <v>115</v>
      </c>
      <c r="E28" s="1" t="s">
        <v>114</v>
      </c>
      <c r="G28" s="1" t="s">
        <v>70</v>
      </c>
      <c r="H28" s="1">
        <v>8805276</v>
      </c>
      <c r="I28" s="1">
        <v>8812331</v>
      </c>
      <c r="J28" s="1" t="s">
        <v>129</v>
      </c>
      <c r="K28" s="1" t="s">
        <v>147</v>
      </c>
      <c r="M28" s="1" t="s">
        <v>70</v>
      </c>
      <c r="N28" s="1">
        <v>8914009</v>
      </c>
      <c r="O28" s="1">
        <v>8921064</v>
      </c>
      <c r="P28" s="1" t="s">
        <v>129</v>
      </c>
    </row>
    <row r="29" spans="1:16">
      <c r="A29" s="1" t="s">
        <v>77</v>
      </c>
      <c r="B29" s="1">
        <v>134022904</v>
      </c>
      <c r="C29" s="1">
        <v>134029743</v>
      </c>
      <c r="D29" s="1" t="s">
        <v>117</v>
      </c>
      <c r="E29" s="1" t="s">
        <v>116</v>
      </c>
      <c r="G29" s="1" t="s">
        <v>70</v>
      </c>
      <c r="H29" s="1">
        <v>49582525</v>
      </c>
      <c r="I29" s="1">
        <v>49593417</v>
      </c>
      <c r="J29" s="1" t="s">
        <v>85</v>
      </c>
      <c r="K29" s="1" t="s">
        <v>84</v>
      </c>
      <c r="M29" s="1" t="s">
        <v>70</v>
      </c>
      <c r="N29" s="1">
        <v>51296258</v>
      </c>
      <c r="O29" s="1">
        <v>51307150</v>
      </c>
      <c r="P29" s="1" t="s">
        <v>85</v>
      </c>
    </row>
    <row r="30" spans="1:16">
      <c r="A30" s="1" t="s">
        <v>67</v>
      </c>
      <c r="B30" s="1">
        <v>106782704</v>
      </c>
      <c r="C30" s="1">
        <v>106790382</v>
      </c>
      <c r="D30" s="1" t="s">
        <v>80</v>
      </c>
      <c r="E30" s="1" t="s">
        <v>141</v>
      </c>
      <c r="G30" s="1" t="s">
        <v>130</v>
      </c>
      <c r="H30" s="1">
        <v>36428786</v>
      </c>
      <c r="I30" s="1">
        <v>36431118</v>
      </c>
      <c r="J30" s="1" t="s">
        <v>132</v>
      </c>
      <c r="K30" s="1" t="s">
        <v>131</v>
      </c>
      <c r="M30" s="1" t="s">
        <v>130</v>
      </c>
      <c r="N30" s="1">
        <v>37530786</v>
      </c>
      <c r="O30" s="1">
        <v>37533118</v>
      </c>
      <c r="P30" s="1" t="s">
        <v>132</v>
      </c>
    </row>
    <row r="31" spans="1:16">
      <c r="A31" s="1" t="s">
        <v>67</v>
      </c>
      <c r="B31" s="1">
        <v>143442630</v>
      </c>
      <c r="C31" s="1">
        <v>143450542</v>
      </c>
      <c r="D31" s="1" t="s">
        <v>118</v>
      </c>
      <c r="E31" s="1" t="s">
        <v>146</v>
      </c>
      <c r="G31" s="1" t="s">
        <v>86</v>
      </c>
      <c r="H31" s="1">
        <v>44558438</v>
      </c>
      <c r="I31" s="1">
        <v>44562647</v>
      </c>
      <c r="J31" s="1" t="s">
        <v>88</v>
      </c>
      <c r="K31" s="1" t="s">
        <v>87</v>
      </c>
      <c r="M31" s="1" t="s">
        <v>86</v>
      </c>
      <c r="N31" s="1">
        <v>45488688</v>
      </c>
      <c r="O31" s="1">
        <v>45492897</v>
      </c>
      <c r="P31" s="1" t="s">
        <v>88</v>
      </c>
    </row>
    <row r="32" spans="1:16">
      <c r="A32" s="1" t="s">
        <v>67</v>
      </c>
      <c r="B32" s="1">
        <v>167224557</v>
      </c>
      <c r="C32" s="1">
        <v>167231731</v>
      </c>
      <c r="D32" s="1" t="s">
        <v>120</v>
      </c>
      <c r="E32" s="1" t="s">
        <v>119</v>
      </c>
      <c r="G32" s="1" t="s">
        <v>86</v>
      </c>
      <c r="H32" s="1">
        <v>90761761</v>
      </c>
      <c r="I32" s="1">
        <v>90762965</v>
      </c>
      <c r="J32" s="1" t="s">
        <v>134</v>
      </c>
      <c r="K32" s="1" t="s">
        <v>133</v>
      </c>
      <c r="M32" s="1" t="s">
        <v>86</v>
      </c>
      <c r="N32" s="1">
        <v>91692008</v>
      </c>
      <c r="O32" s="1">
        <v>91693212</v>
      </c>
      <c r="P32" s="1" t="s">
        <v>134</v>
      </c>
    </row>
    <row r="33" spans="1:16">
      <c r="A33" s="1" t="s">
        <v>66</v>
      </c>
      <c r="B33" s="1">
        <v>91935248</v>
      </c>
      <c r="C33" s="1">
        <v>91945442</v>
      </c>
      <c r="D33" s="1" t="s">
        <v>82</v>
      </c>
      <c r="E33" s="1" t="s">
        <v>81</v>
      </c>
      <c r="G33" s="1" t="s">
        <v>92</v>
      </c>
      <c r="H33" s="1">
        <v>32764002</v>
      </c>
      <c r="I33" s="1">
        <v>32767735</v>
      </c>
      <c r="J33" s="1" t="s">
        <v>93</v>
      </c>
      <c r="K33" s="1" t="s">
        <v>98</v>
      </c>
      <c r="M33" s="1" t="s">
        <v>92</v>
      </c>
      <c r="N33" s="1">
        <v>35689889</v>
      </c>
      <c r="O33" s="1">
        <v>35693622</v>
      </c>
      <c r="P33" s="1" t="s">
        <v>93</v>
      </c>
    </row>
    <row r="34" spans="1:16">
      <c r="A34" s="1" t="s">
        <v>73</v>
      </c>
      <c r="B34" s="1">
        <v>74896653</v>
      </c>
      <c r="C34" s="1">
        <v>74897392</v>
      </c>
      <c r="D34" s="1" t="s">
        <v>122</v>
      </c>
      <c r="E34" s="1" t="s">
        <v>121</v>
      </c>
      <c r="G34" s="1" t="s">
        <v>135</v>
      </c>
      <c r="H34" s="1">
        <v>13646680</v>
      </c>
      <c r="I34" s="1">
        <v>13647837</v>
      </c>
      <c r="J34" s="1" t="s">
        <v>137</v>
      </c>
      <c r="K34" s="1" t="s">
        <v>136</v>
      </c>
      <c r="M34" s="1" t="s">
        <v>135</v>
      </c>
      <c r="N34" s="1">
        <v>13656680</v>
      </c>
      <c r="O34" s="1">
        <v>13657837</v>
      </c>
      <c r="P34" s="1" t="s">
        <v>137</v>
      </c>
    </row>
    <row r="35" spans="1:16">
      <c r="A35" s="1" t="s">
        <v>73</v>
      </c>
      <c r="B35" s="1">
        <v>81814505</v>
      </c>
      <c r="C35" s="1">
        <v>81817982</v>
      </c>
      <c r="D35" s="1" t="s">
        <v>124</v>
      </c>
      <c r="E35" s="1" t="s">
        <v>123</v>
      </c>
    </row>
    <row r="36" spans="1:16">
      <c r="A36" s="1" t="s">
        <v>83</v>
      </c>
      <c r="B36" s="1">
        <v>35630301</v>
      </c>
      <c r="C36" s="1">
        <v>35632824</v>
      </c>
      <c r="D36" s="1" t="s">
        <v>126</v>
      </c>
      <c r="E36" s="1" t="s">
        <v>125</v>
      </c>
    </row>
    <row r="37" spans="1:16">
      <c r="A37" s="1" t="s">
        <v>74</v>
      </c>
      <c r="B37" s="1">
        <v>77247020</v>
      </c>
      <c r="C37" s="1">
        <v>77252172</v>
      </c>
      <c r="D37" s="1" t="s">
        <v>128</v>
      </c>
      <c r="E37" s="1" t="s">
        <v>127</v>
      </c>
    </row>
    <row r="38" spans="1:16">
      <c r="A38" s="1" t="s">
        <v>70</v>
      </c>
      <c r="B38" s="1">
        <v>8805276</v>
      </c>
      <c r="C38" s="1">
        <v>8812331</v>
      </c>
      <c r="D38" s="1" t="s">
        <v>129</v>
      </c>
      <c r="E38" s="1" t="s">
        <v>147</v>
      </c>
    </row>
    <row r="39" spans="1:16">
      <c r="A39" s="1" t="s">
        <v>70</v>
      </c>
      <c r="B39" s="1">
        <v>49582525</v>
      </c>
      <c r="C39" s="1">
        <v>49593417</v>
      </c>
      <c r="D39" s="1" t="s">
        <v>85</v>
      </c>
      <c r="E39" s="1" t="s">
        <v>84</v>
      </c>
    </row>
    <row r="40" spans="1:16">
      <c r="A40" s="1" t="s">
        <v>130</v>
      </c>
      <c r="B40" s="1">
        <v>36428786</v>
      </c>
      <c r="C40" s="1">
        <v>36431118</v>
      </c>
      <c r="D40" s="1" t="s">
        <v>132</v>
      </c>
      <c r="E40" s="1" t="s">
        <v>131</v>
      </c>
    </row>
    <row r="41" spans="1:16">
      <c r="A41" s="1" t="s">
        <v>86</v>
      </c>
      <c r="B41" s="1">
        <v>90761761</v>
      </c>
      <c r="C41" s="1">
        <v>90762965</v>
      </c>
      <c r="D41" s="1" t="s">
        <v>134</v>
      </c>
      <c r="E41" s="1" t="s">
        <v>133</v>
      </c>
    </row>
    <row r="42" spans="1:16">
      <c r="A42" s="1" t="s">
        <v>89</v>
      </c>
      <c r="B42" s="1">
        <v>53384371</v>
      </c>
      <c r="C42" s="1">
        <v>53391866</v>
      </c>
      <c r="D42" s="1" t="s">
        <v>91</v>
      </c>
      <c r="E42" s="1" t="s">
        <v>90</v>
      </c>
    </row>
    <row r="43" spans="1:16">
      <c r="A43" s="1" t="s">
        <v>92</v>
      </c>
      <c r="B43" s="1">
        <v>32764002</v>
      </c>
      <c r="C43" s="1">
        <v>32767735</v>
      </c>
      <c r="D43" s="1" t="s">
        <v>93</v>
      </c>
      <c r="E43" s="1" t="s">
        <v>98</v>
      </c>
    </row>
    <row r="44" spans="1:16">
      <c r="A44" s="1" t="s">
        <v>135</v>
      </c>
      <c r="B44" s="1">
        <v>13646680</v>
      </c>
      <c r="C44" s="1">
        <v>13647837</v>
      </c>
      <c r="D44" s="1" t="s">
        <v>137</v>
      </c>
      <c r="E44" s="1" t="s">
        <v>136</v>
      </c>
    </row>
    <row r="45" spans="1:16">
      <c r="A45" s="1" t="s">
        <v>94</v>
      </c>
      <c r="B45" s="1">
        <v>106182016</v>
      </c>
      <c r="C45" s="1">
        <v>106184757</v>
      </c>
      <c r="D45" s="1" t="s">
        <v>95</v>
      </c>
      <c r="E45" s="1" t="s">
        <v>143</v>
      </c>
    </row>
  </sheetData>
  <sortState ref="G6:K45">
    <sortCondition ref="J6:J45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ERVK-#</vt:lpstr>
      <vt:lpstr>ERVW-#</vt:lpstr>
    </vt:vector>
  </TitlesOfParts>
  <Company>Humangenetik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Jens Mayer</cp:lastModifiedBy>
  <dcterms:created xsi:type="dcterms:W3CDTF">2016-07-20T07:57:01Z</dcterms:created>
  <dcterms:modified xsi:type="dcterms:W3CDTF">2016-07-20T09:23:50Z</dcterms:modified>
</cp:coreProperties>
</file>