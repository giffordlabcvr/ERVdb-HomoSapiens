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ob/Downloads/"/>
    </mc:Choice>
  </mc:AlternateContent>
  <xr:revisionPtr revIDLastSave="0" documentId="13_ncr:1_{701F0DCC-92D6-2149-A77F-1A95AC28C5DF}" xr6:coauthVersionLast="45" xr6:coauthVersionMax="45" xr10:uidLastSave="{00000000-0000-0000-0000-000000000000}"/>
  <bookViews>
    <workbookView xWindow="880" yWindow="500" windowWidth="26820" windowHeight="16120" tabRatio="500" xr2:uid="{00000000-000D-0000-FFFF-FFFF00000000}"/>
  </bookViews>
  <sheets>
    <sheet name="Fogli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8" i="1" l="1"/>
  <c r="M8" i="1"/>
  <c r="N8" i="1" s="1"/>
  <c r="L9" i="1"/>
  <c r="M9" i="1"/>
  <c r="N9" i="1" s="1"/>
  <c r="L10" i="1"/>
  <c r="M10" i="1"/>
  <c r="N10" i="1" s="1"/>
  <c r="L13" i="1"/>
  <c r="M13" i="1"/>
  <c r="N13" i="1" s="1"/>
  <c r="L16" i="1"/>
  <c r="M16" i="1"/>
  <c r="N16" i="1" s="1"/>
  <c r="L17" i="1"/>
  <c r="M17" i="1"/>
  <c r="N17" i="1" s="1"/>
  <c r="L19" i="1"/>
  <c r="M19" i="1"/>
  <c r="N19" i="1"/>
  <c r="L22" i="1"/>
  <c r="M22" i="1"/>
  <c r="N22" i="1"/>
  <c r="L24" i="1"/>
  <c r="M24" i="1"/>
  <c r="N24" i="1" s="1"/>
  <c r="L36" i="1"/>
  <c r="M36" i="1"/>
  <c r="N36" i="1"/>
  <c r="L37" i="1"/>
  <c r="M37" i="1"/>
  <c r="N37" i="1"/>
  <c r="H42" i="1"/>
  <c r="K42" i="1" s="1"/>
  <c r="I42" i="1"/>
  <c r="J42" i="1" s="1"/>
  <c r="H49" i="1"/>
  <c r="K49" i="1" s="1"/>
  <c r="I49" i="1"/>
  <c r="J49" i="1" s="1"/>
  <c r="H50" i="1"/>
  <c r="I50" i="1"/>
  <c r="J50" i="1" s="1"/>
  <c r="K50" i="1"/>
  <c r="H51" i="1"/>
  <c r="K51" i="1" s="1"/>
  <c r="I51" i="1"/>
  <c r="J51" i="1" s="1"/>
  <c r="H52" i="1"/>
  <c r="I52" i="1"/>
  <c r="J52" i="1" s="1"/>
  <c r="K52" i="1"/>
  <c r="H53" i="1"/>
  <c r="K53" i="1" s="1"/>
  <c r="I53" i="1"/>
  <c r="J53" i="1" s="1"/>
  <c r="H54" i="1"/>
  <c r="I54" i="1"/>
  <c r="J54" i="1" s="1"/>
  <c r="K54" i="1"/>
  <c r="H55" i="1"/>
  <c r="K55" i="1" s="1"/>
  <c r="I55" i="1"/>
  <c r="J55" i="1" s="1"/>
  <c r="L57" i="1"/>
  <c r="M57" i="1"/>
  <c r="N57" i="1" s="1"/>
  <c r="L58" i="1"/>
  <c r="M58" i="1"/>
  <c r="N58" i="1"/>
  <c r="L59" i="1"/>
  <c r="M59" i="1"/>
  <c r="N59" i="1"/>
  <c r="L63" i="1"/>
  <c r="M63" i="1"/>
  <c r="N63" i="1"/>
  <c r="L42" i="1" l="1"/>
  <c r="M42" i="1"/>
  <c r="N42" i="1" s="1"/>
</calcChain>
</file>

<file path=xl/sharedStrings.xml><?xml version="1.0" encoding="utf-8"?>
<sst xmlns="http://schemas.openxmlformats.org/spreadsheetml/2006/main" count="85" uniqueCount="75">
  <si>
    <t>19p12a_chr19:21416592-21420867</t>
  </si>
  <si>
    <t>17q21.31_chr17:41949365-41952180</t>
  </si>
  <si>
    <t>7q36.1_chr7:150279386-150283313</t>
  </si>
  <si>
    <t>5q13.2b_chr5:69958435-69960659</t>
  </si>
  <si>
    <t>5q13.2a_chr5:69641005-69643229</t>
  </si>
  <si>
    <t>4q13.3_chr4:71418184-71420406</t>
  </si>
  <si>
    <t>2q14.23_chr2:128372842-128376247</t>
  </si>
  <si>
    <t>env</t>
  </si>
  <si>
    <t>pol</t>
  </si>
  <si>
    <t>pro</t>
  </si>
  <si>
    <t>gag</t>
  </si>
  <si>
    <t>Type 2</t>
  </si>
  <si>
    <t>Yq11.23c_chrY:27680077-27684680</t>
  </si>
  <si>
    <t>Yq11.23a_chrY:26277752-26282358</t>
  </si>
  <si>
    <t>Yq11.223b_chrY:26162248-26166935</t>
  </si>
  <si>
    <t>Yq11.222c_chrY:20074149-20078731</t>
  </si>
  <si>
    <t>Yq11.222b_chrY:20051008-20055589</t>
  </si>
  <si>
    <t>Yq11.222a_chrY:19958329-19963018</t>
  </si>
  <si>
    <t>19q13.41e_chr19:53487788-53492829</t>
  </si>
  <si>
    <t>19q13.43b_chr19:58817037-58826633</t>
  </si>
  <si>
    <t>19q13.43a_chr19:58023984-58029856</t>
  </si>
  <si>
    <t>16p11.2_chr16:30627018-30635602</t>
  </si>
  <si>
    <t>16p11.1_chr16:34750975-34758850</t>
  </si>
  <si>
    <t>6p22.2_chr6:26288250-26296494</t>
  </si>
  <si>
    <t>4q13.2_chr4:69610304-69616956</t>
  </si>
  <si>
    <t>Type 1b</t>
  </si>
  <si>
    <t>Yq11.221_chrY:19443452-19448989</t>
  </si>
  <si>
    <t>Xq27.1_chrX:140290665-140293656</t>
  </si>
  <si>
    <t>Xp11.22_chrX:53188296-53193008</t>
  </si>
  <si>
    <t>Xp11.21_chrX:57129414-57135829</t>
  </si>
  <si>
    <t>20p13_chr20:1377446-1383348</t>
  </si>
  <si>
    <t>20p11.21_chr20:25374769-25383907</t>
  </si>
  <si>
    <t>19q13.41d_chr19:52913436-52917986</t>
  </si>
  <si>
    <t>19q13.41b_chr19:52479404-52484683</t>
  </si>
  <si>
    <t>19q13.41a_chr19:52307949-52315192</t>
  </si>
  <si>
    <t>19p13.2b_chr19:11964097-11971799</t>
  </si>
  <si>
    <t>19p13.2a_chr19:9618707-9625736</t>
  </si>
  <si>
    <t>19p12d_chr19:24047631-24054030</t>
  </si>
  <si>
    <t>19p12b_chr19:21968952-21975023</t>
  </si>
  <si>
    <t>14q24.2_chr14:70278180-70282740</t>
  </si>
  <si>
    <t>14q12_chr14:28879914-28890437</t>
  </si>
  <si>
    <t>12q24.12_chr12:112253979-112263658</t>
  </si>
  <si>
    <t>11q23.2_chr11:112795351-112800806</t>
  </si>
  <si>
    <t>11q12.3b_chr11:62019229-62021808</t>
  </si>
  <si>
    <t>11q12.3a_chr11:61817251-61823827</t>
  </si>
  <si>
    <t>11p15.4_chr11:7920872-7927779</t>
  </si>
  <si>
    <t>10q11.21_chr10:45774424-45782353</t>
  </si>
  <si>
    <t>8q11.1_chr8:47395171-47403000</t>
  </si>
  <si>
    <t>6p21.32b_chr6:32527497-32535122</t>
  </si>
  <si>
    <t>5q13.2c_chr5:70867724-70874228</t>
  </si>
  <si>
    <t>5p14.1_chr5:24649773-24654829</t>
  </si>
  <si>
    <t>4q21.1_chr4:78313436-78321358</t>
  </si>
  <si>
    <t>4p14_chr4:39540876-39545998</t>
  </si>
  <si>
    <t>3p25.1_chr3:14266558-14271762</t>
  </si>
  <si>
    <t>3p21.31b_chr3:46468034-46475121</t>
  </si>
  <si>
    <t>3p21.31a_chr3:46087646-46095966</t>
  </si>
  <si>
    <t>2q22.1_chr2:136829388-136834831</t>
  </si>
  <si>
    <t>1q25.2_chr1:179406261-179412404</t>
  </si>
  <si>
    <t>1p21.1_chr1:103298830-103306681</t>
  </si>
  <si>
    <t>gene vs consensus</t>
  </si>
  <si>
    <t>LTR vs LTR</t>
  </si>
  <si>
    <t>Type 1a</t>
  </si>
  <si>
    <t>%SD</t>
  </si>
  <si>
    <t>Standard Deviation</t>
  </si>
  <si>
    <t>Avg</t>
  </si>
  <si>
    <t>Age</t>
  </si>
  <si>
    <t>% SD</t>
  </si>
  <si>
    <t>Standard Deviation (SD)</t>
  </si>
  <si>
    <t>Mean Divergences</t>
  </si>
  <si>
    <t>Divergence from Consensus sequence</t>
  </si>
  <si>
    <t>Locus</t>
  </si>
  <si>
    <t>Supplemental Dataset 2</t>
  </si>
  <si>
    <t>Divergence between LTRs*2</t>
  </si>
  <si>
    <t xml:space="preserve">Time of insertion of HML-6 loci calculated after the analyses of i) divergence between LTRs and ii) retoviral genes and a consensus created for each gene </t>
  </si>
  <si>
    <t>Average ages with standard deviations between the two methods are highlighted in 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</si>
</sst>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2"/>
      <color theme="1"/>
      <name val="Calibri"/>
      <family val="2"/>
      <scheme val="minor"/>
    </font>
    <font>
      <sz val="12"/>
      <color theme="6" tint="-0.499984740745262"/>
      <name val="Calibri"/>
      <family val="2"/>
      <scheme val="minor"/>
    </font>
    <font>
      <sz val="12"/>
      <color theme="7"/>
      <name val="Calibri"/>
      <family val="2"/>
      <scheme val="minor"/>
    </font>
    <font>
      <sz val="12"/>
      <color theme="5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Fill="1"/>
    <xf numFmtId="164" fontId="1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2" borderId="0" xfId="0" applyFont="1" applyFill="1"/>
    <xf numFmtId="164" fontId="1" fillId="2" borderId="0" xfId="0" applyNumberFormat="1" applyFont="1" applyFill="1"/>
    <xf numFmtId="164" fontId="3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2" fillId="0" borderId="0" xfId="0" applyFont="1" applyFill="1" applyAlignment="1">
      <alignment horizontal="left"/>
    </xf>
    <xf numFmtId="164" fontId="0" fillId="0" borderId="0" xfId="0" applyNumberFormat="1" applyFont="1" applyAlignment="1">
      <alignment horizontal="left"/>
    </xf>
    <xf numFmtId="2" fontId="2" fillId="0" borderId="0" xfId="0" applyNumberFormat="1" applyFont="1" applyFill="1" applyAlignment="1">
      <alignment horizontal="left"/>
    </xf>
    <xf numFmtId="164" fontId="5" fillId="0" borderId="0" xfId="0" applyNumberFormat="1" applyFont="1"/>
    <xf numFmtId="0" fontId="4" fillId="0" borderId="0" xfId="0" applyFont="1" applyAlignment="1">
      <alignment horizontal="left"/>
    </xf>
    <xf numFmtId="0" fontId="8" fillId="0" borderId="0" xfId="0" applyFont="1"/>
    <xf numFmtId="0" fontId="1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 vertic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"/>
  <sheetViews>
    <sheetView tabSelected="1" topLeftCell="A28" workbookViewId="0">
      <selection activeCell="A5" sqref="A5"/>
    </sheetView>
  </sheetViews>
  <sheetFormatPr baseColWidth="10" defaultColWidth="11" defaultRowHeight="16" x14ac:dyDescent="0.2"/>
  <cols>
    <col min="1" max="1" width="33.83203125" bestFit="1" customWidth="1"/>
    <col min="2" max="2" width="11.6640625" customWidth="1"/>
  </cols>
  <sheetData>
    <row r="1" spans="1:14" x14ac:dyDescent="0.2">
      <c r="A1" s="17" t="s">
        <v>71</v>
      </c>
    </row>
    <row r="2" spans="1:14" x14ac:dyDescent="0.2">
      <c r="A2" t="s">
        <v>73</v>
      </c>
    </row>
    <row r="3" spans="1:14" x14ac:dyDescent="0.2">
      <c r="A3" t="s">
        <v>74</v>
      </c>
    </row>
    <row r="5" spans="1:14" x14ac:dyDescent="0.2">
      <c r="L5" s="1"/>
      <c r="M5" s="1"/>
      <c r="N5" s="1"/>
    </row>
    <row r="6" spans="1:14" x14ac:dyDescent="0.2">
      <c r="A6" s="6" t="s">
        <v>70</v>
      </c>
      <c r="B6" s="20" t="s">
        <v>72</v>
      </c>
      <c r="C6" s="7" t="s">
        <v>65</v>
      </c>
      <c r="D6" s="21" t="s">
        <v>69</v>
      </c>
      <c r="E6" s="21"/>
      <c r="F6" s="21"/>
      <c r="G6" s="21"/>
      <c r="H6" s="20" t="s">
        <v>68</v>
      </c>
      <c r="I6" s="20" t="s">
        <v>67</v>
      </c>
      <c r="J6" s="22" t="s">
        <v>66</v>
      </c>
      <c r="K6" s="4" t="s">
        <v>65</v>
      </c>
      <c r="L6" s="18" t="s">
        <v>64</v>
      </c>
      <c r="M6" s="18" t="s">
        <v>63</v>
      </c>
      <c r="N6" s="19" t="s">
        <v>62</v>
      </c>
    </row>
    <row r="7" spans="1:14" x14ac:dyDescent="0.2">
      <c r="A7" s="16" t="s">
        <v>61</v>
      </c>
      <c r="B7" s="20"/>
      <c r="C7" s="7" t="s">
        <v>60</v>
      </c>
      <c r="D7" s="6" t="s">
        <v>10</v>
      </c>
      <c r="E7" s="6" t="s">
        <v>9</v>
      </c>
      <c r="F7" s="6" t="s">
        <v>8</v>
      </c>
      <c r="G7" s="6" t="s">
        <v>7</v>
      </c>
      <c r="H7" s="20"/>
      <c r="I7" s="20"/>
      <c r="J7" s="22"/>
      <c r="K7" s="4" t="s">
        <v>59</v>
      </c>
      <c r="L7" s="18"/>
      <c r="M7" s="18"/>
      <c r="N7" s="19"/>
    </row>
    <row r="8" spans="1:14" x14ac:dyDescent="0.2">
      <c r="A8" s="13" t="s">
        <v>58</v>
      </c>
      <c r="B8" s="13">
        <v>6.0709676112392384E-2</v>
      </c>
      <c r="C8" s="10">
        <v>30.35483805619619</v>
      </c>
      <c r="D8" s="13">
        <v>7.3060356410512423E-2</v>
      </c>
      <c r="E8" s="11">
        <v>0.11799999999999999</v>
      </c>
      <c r="F8" s="11">
        <v>7.6999999999999999E-2</v>
      </c>
      <c r="G8" s="11">
        <v>7.8E-2</v>
      </c>
      <c r="H8" s="13">
        <v>8.6515089102628104E-2</v>
      </c>
      <c r="I8" s="6">
        <v>2.1097970748300138E-2</v>
      </c>
      <c r="J8" s="6">
        <v>24.386463641357143</v>
      </c>
      <c r="K8" s="14">
        <v>43.257544551314048</v>
      </c>
      <c r="L8" s="3">
        <f>AVERAGE(C8,K8)</f>
        <v>36.806191303755121</v>
      </c>
      <c r="M8" s="1">
        <f>STDEV(C8,K8)</f>
        <v>9.1235912583575391</v>
      </c>
      <c r="N8" s="1">
        <f>M8*100/L8</f>
        <v>24.788197135264884</v>
      </c>
    </row>
    <row r="9" spans="1:14" x14ac:dyDescent="0.2">
      <c r="A9" s="13" t="s">
        <v>57</v>
      </c>
      <c r="B9" s="13">
        <v>4.3362218133140437E-2</v>
      </c>
      <c r="C9" s="10">
        <v>21.681109066570219</v>
      </c>
      <c r="D9" s="13">
        <v>4.7922461365544587E-2</v>
      </c>
      <c r="E9" s="11"/>
      <c r="F9" s="11">
        <v>5.3999999999999999E-2</v>
      </c>
      <c r="G9" s="11">
        <v>4.5999999999999999E-2</v>
      </c>
      <c r="H9" s="13">
        <v>4.9307487121848202E-2</v>
      </c>
      <c r="I9" s="6">
        <v>4.1759696190487644E-3</v>
      </c>
      <c r="J9" s="6">
        <v>8.4692403989867646</v>
      </c>
      <c r="K9" s="14">
        <v>24.653743560924102</v>
      </c>
      <c r="L9" s="3">
        <f>AVERAGE(C9,K9)</f>
        <v>23.167426313747161</v>
      </c>
      <c r="M9" s="1">
        <f>STDEV(C9,K9)</f>
        <v>2.1019700089466746</v>
      </c>
      <c r="N9" s="1">
        <f>M9*100/L9</f>
        <v>9.0729543302762163</v>
      </c>
    </row>
    <row r="10" spans="1:14" x14ac:dyDescent="0.2">
      <c r="A10" s="13" t="s">
        <v>56</v>
      </c>
      <c r="B10" s="13">
        <v>2.7631641807197623E-2</v>
      </c>
      <c r="C10" s="10">
        <v>13.81582090359881</v>
      </c>
      <c r="D10" s="13">
        <v>6.4188326133052739E-2</v>
      </c>
      <c r="E10" s="11">
        <v>6.9000000000000006E-2</v>
      </c>
      <c r="F10" s="11">
        <v>0.04</v>
      </c>
      <c r="G10" s="11">
        <v>5.7000000000000002E-2</v>
      </c>
      <c r="H10" s="13">
        <v>5.754708153326319E-2</v>
      </c>
      <c r="I10" s="6">
        <v>1.2694813111122437E-2</v>
      </c>
      <c r="J10" s="6">
        <v>22.059873016817747</v>
      </c>
      <c r="K10" s="14">
        <v>28.773540766631594</v>
      </c>
      <c r="L10" s="9">
        <f>AVERAGE(C10,K10)</f>
        <v>21.294680835115201</v>
      </c>
      <c r="M10" s="8">
        <f>STDEV(C10,K10)</f>
        <v>10.576705146239201</v>
      </c>
      <c r="N10" s="8">
        <f>M10*100/L10</f>
        <v>49.668296172807992</v>
      </c>
    </row>
    <row r="11" spans="1:14" x14ac:dyDescent="0.2">
      <c r="A11" s="13" t="s">
        <v>55</v>
      </c>
      <c r="B11" s="13">
        <v>3.8939318477484886E-2</v>
      </c>
      <c r="C11" s="10">
        <v>19.469659238742441</v>
      </c>
      <c r="D11" s="13"/>
      <c r="E11" s="11"/>
      <c r="F11" s="11"/>
      <c r="G11" s="11"/>
      <c r="H11" s="13"/>
      <c r="I11" s="6"/>
      <c r="J11" s="6"/>
      <c r="K11" s="14"/>
      <c r="L11" s="3"/>
      <c r="M11" s="1"/>
      <c r="N11" s="1"/>
    </row>
    <row r="12" spans="1:14" x14ac:dyDescent="0.2">
      <c r="A12" s="13" t="s">
        <v>54</v>
      </c>
      <c r="B12" s="13">
        <v>4.5144988375196878E-2</v>
      </c>
      <c r="C12" s="10">
        <v>22.572494187598437</v>
      </c>
      <c r="D12" s="13"/>
      <c r="E12" s="11"/>
      <c r="F12" s="11"/>
      <c r="G12" s="11"/>
      <c r="H12" s="13"/>
      <c r="I12" s="6"/>
      <c r="J12" s="6"/>
      <c r="K12" s="14"/>
      <c r="L12" s="3"/>
      <c r="M12" s="1"/>
      <c r="N12" s="1"/>
    </row>
    <row r="13" spans="1:14" x14ac:dyDescent="0.2">
      <c r="A13" s="13" t="s">
        <v>53</v>
      </c>
      <c r="B13" s="13">
        <v>4.0267459020502855E-2</v>
      </c>
      <c r="C13" s="10">
        <v>20.133729510251428</v>
      </c>
      <c r="D13" s="13">
        <v>8.6167250956347891E-2</v>
      </c>
      <c r="E13" s="11">
        <v>6.3E-2</v>
      </c>
      <c r="F13" s="11">
        <v>5.0999999999999997E-2</v>
      </c>
      <c r="G13" s="11">
        <v>5.7000000000000002E-2</v>
      </c>
      <c r="H13" s="13">
        <v>6.4291812739086976E-2</v>
      </c>
      <c r="I13" s="6">
        <v>1.5384476984533588E-2</v>
      </c>
      <c r="J13" s="6">
        <v>23.929138608935833</v>
      </c>
      <c r="K13" s="14">
        <v>32.145906369543489</v>
      </c>
      <c r="L13" s="9">
        <f>AVERAGE(C13,K13)</f>
        <v>26.139817939897458</v>
      </c>
      <c r="M13" s="8">
        <f>STDEV(C13,K13)</f>
        <v>8.4938917140175398</v>
      </c>
      <c r="N13" s="8">
        <f>M13*100/L13</f>
        <v>32.494073729003411</v>
      </c>
    </row>
    <row r="14" spans="1:14" x14ac:dyDescent="0.2">
      <c r="A14" s="13" t="s">
        <v>52</v>
      </c>
      <c r="B14" s="13">
        <v>2.4398850810293225E-2</v>
      </c>
      <c r="C14" s="10">
        <v>12.199425405146613</v>
      </c>
      <c r="D14" s="13"/>
      <c r="E14" s="11"/>
      <c r="F14" s="11"/>
      <c r="G14" s="11"/>
      <c r="H14" s="13"/>
      <c r="I14" s="6"/>
      <c r="J14" s="6"/>
      <c r="K14" s="14"/>
      <c r="L14" s="3"/>
      <c r="M14" s="1"/>
      <c r="N14" s="1"/>
    </row>
    <row r="15" spans="1:14" x14ac:dyDescent="0.2">
      <c r="A15" s="13" t="s">
        <v>51</v>
      </c>
      <c r="B15" s="13">
        <v>4.8296611167797536E-2</v>
      </c>
      <c r="C15" s="10">
        <v>24.148305583898768</v>
      </c>
      <c r="D15" s="13"/>
      <c r="E15" s="11"/>
      <c r="F15" s="11"/>
      <c r="G15" s="11"/>
      <c r="H15" s="13"/>
      <c r="I15" s="6"/>
      <c r="J15" s="6"/>
      <c r="K15" s="14"/>
      <c r="L15" s="3"/>
      <c r="M15" s="1"/>
      <c r="N15" s="1"/>
    </row>
    <row r="16" spans="1:14" x14ac:dyDescent="0.2">
      <c r="A16" s="13" t="s">
        <v>50</v>
      </c>
      <c r="B16" s="13">
        <v>5.185582209926258E-2</v>
      </c>
      <c r="C16" s="10">
        <v>25.927911049631291</v>
      </c>
      <c r="D16" s="13">
        <v>8.2895471669794954E-2</v>
      </c>
      <c r="E16" s="11">
        <v>6.9000000000000006E-2</v>
      </c>
      <c r="F16" s="11">
        <v>5.3999999999999999E-2</v>
      </c>
      <c r="G16" s="11">
        <v>5.5E-2</v>
      </c>
      <c r="H16" s="13">
        <v>6.5223867917448733E-2</v>
      </c>
      <c r="I16" s="6">
        <v>1.3626535863363393E-2</v>
      </c>
      <c r="J16" s="6">
        <v>20.891946918281448</v>
      </c>
      <c r="K16" s="14">
        <v>32.611933958724364</v>
      </c>
      <c r="L16" s="3">
        <f>AVERAGE(C16,K16)</f>
        <v>29.269922504177828</v>
      </c>
      <c r="M16" s="1">
        <f>STDEV(C16,K16)</f>
        <v>4.7263179246259384</v>
      </c>
      <c r="N16" s="1">
        <f>M16*100/L16</f>
        <v>16.147353734712926</v>
      </c>
    </row>
    <row r="17" spans="1:14" x14ac:dyDescent="0.2">
      <c r="A17" s="13" t="s">
        <v>49</v>
      </c>
      <c r="B17" s="13">
        <v>2.1123838996313499E-2</v>
      </c>
      <c r="C17" s="10">
        <v>10.561919498156749</v>
      </c>
      <c r="D17" s="13">
        <v>6.6390040686800975E-2</v>
      </c>
      <c r="E17" s="11">
        <v>5.7000000000000002E-2</v>
      </c>
      <c r="F17" s="11"/>
      <c r="G17" s="11">
        <v>4.3999999999999997E-2</v>
      </c>
      <c r="H17" s="13">
        <v>5.5796680228933658E-2</v>
      </c>
      <c r="I17" s="6">
        <v>1.1243418712417061E-2</v>
      </c>
      <c r="J17" s="6">
        <v>20.150694747940808</v>
      </c>
      <c r="K17" s="14">
        <v>27.89834011446683</v>
      </c>
      <c r="L17" s="9">
        <f>AVERAGE(C17,K17)</f>
        <v>19.23012980631179</v>
      </c>
      <c r="M17" s="8">
        <f>STDEV(C17,K17)</f>
        <v>12.25870057929512</v>
      </c>
      <c r="N17" s="8">
        <f>M17*100/L17</f>
        <v>63.747362616717851</v>
      </c>
    </row>
    <row r="18" spans="1:14" x14ac:dyDescent="0.2">
      <c r="A18" s="13" t="s">
        <v>48</v>
      </c>
      <c r="B18" s="13">
        <v>8.3254472311251396E-2</v>
      </c>
      <c r="C18" s="10">
        <v>41.627236155625695</v>
      </c>
      <c r="D18" s="13"/>
      <c r="E18" s="11"/>
      <c r="F18" s="11"/>
      <c r="G18" s="11"/>
      <c r="H18" s="13"/>
      <c r="I18" s="6"/>
      <c r="J18" s="6"/>
      <c r="K18" s="14"/>
      <c r="L18" s="3"/>
      <c r="M18" s="1"/>
      <c r="N18" s="1"/>
    </row>
    <row r="19" spans="1:14" x14ac:dyDescent="0.2">
      <c r="A19" s="13" t="s">
        <v>47</v>
      </c>
      <c r="B19" s="13">
        <v>0.12516407547521247</v>
      </c>
      <c r="C19" s="10">
        <v>62.582037737606235</v>
      </c>
      <c r="D19" s="13">
        <v>0.10882702508036146</v>
      </c>
      <c r="E19" s="11">
        <v>0.09</v>
      </c>
      <c r="F19" s="11">
        <v>0.115</v>
      </c>
      <c r="G19" s="11">
        <v>0.112</v>
      </c>
      <c r="H19" s="13">
        <v>0.10645675627009037</v>
      </c>
      <c r="I19" s="6">
        <v>1.1256961781403329E-2</v>
      </c>
      <c r="J19" s="6">
        <v>10.57421076483244</v>
      </c>
      <c r="K19" s="14">
        <v>53.228378135045183</v>
      </c>
      <c r="L19" s="3">
        <f>AVERAGE(C19,K19)</f>
        <v>57.905207936325709</v>
      </c>
      <c r="M19" s="1">
        <f>STDEV(C19,K19)</f>
        <v>6.6140361338815872</v>
      </c>
      <c r="N19" s="1">
        <f>M19*100/L19</f>
        <v>11.422178366330328</v>
      </c>
    </row>
    <row r="20" spans="1:14" x14ac:dyDescent="0.2">
      <c r="A20" s="13" t="s">
        <v>46</v>
      </c>
      <c r="B20" s="13">
        <v>5.7812597745867583E-2</v>
      </c>
      <c r="C20" s="10">
        <v>28.906298872933792</v>
      </c>
      <c r="D20" s="13"/>
      <c r="E20" s="11"/>
      <c r="F20" s="11"/>
      <c r="G20" s="11"/>
      <c r="H20" s="13"/>
      <c r="I20" s="6"/>
      <c r="J20" s="6"/>
      <c r="K20" s="14"/>
      <c r="L20" s="3"/>
      <c r="M20" s="1"/>
      <c r="N20" s="1"/>
    </row>
    <row r="21" spans="1:14" x14ac:dyDescent="0.2">
      <c r="A21" s="13" t="s">
        <v>45</v>
      </c>
      <c r="B21" s="13">
        <v>5.3304032999294072E-2</v>
      </c>
      <c r="C21" s="10">
        <v>26.652016499647036</v>
      </c>
      <c r="D21" s="13"/>
      <c r="E21" s="11"/>
      <c r="F21" s="11"/>
      <c r="G21" s="11"/>
      <c r="H21" s="13"/>
      <c r="I21" s="6"/>
      <c r="J21" s="6"/>
      <c r="K21" s="14"/>
      <c r="L21" s="3"/>
      <c r="M21" s="1"/>
      <c r="N21" s="1"/>
    </row>
    <row r="22" spans="1:14" x14ac:dyDescent="0.2">
      <c r="A22" s="13" t="s">
        <v>44</v>
      </c>
      <c r="B22" s="13">
        <v>3.4417875451993901E-2</v>
      </c>
      <c r="C22" s="10">
        <v>17.20893772599695</v>
      </c>
      <c r="D22" s="13">
        <v>6.1559397953085293E-2</v>
      </c>
      <c r="E22" s="11">
        <v>4.2999999999999997E-2</v>
      </c>
      <c r="F22" s="11">
        <v>5.0999999999999997E-2</v>
      </c>
      <c r="G22" s="11">
        <v>4.3999999999999997E-2</v>
      </c>
      <c r="H22" s="13">
        <v>4.9889849488271326E-2</v>
      </c>
      <c r="I22" s="6">
        <v>8.5551378032317268E-3</v>
      </c>
      <c r="J22" s="6">
        <v>17.148052942599008</v>
      </c>
      <c r="K22" s="14">
        <v>24.944924744135662</v>
      </c>
      <c r="L22" s="3">
        <f>AVERAGE(C22,K22)</f>
        <v>21.076931235066304</v>
      </c>
      <c r="M22" s="1">
        <f>STDEV(C22,K22)</f>
        <v>5.4701688796969927</v>
      </c>
      <c r="N22" s="1">
        <f>M22*100/L22</f>
        <v>25.953345952925602</v>
      </c>
    </row>
    <row r="23" spans="1:14" x14ac:dyDescent="0.2">
      <c r="A23" s="13" t="s">
        <v>43</v>
      </c>
      <c r="B23" s="13"/>
      <c r="C23" s="10"/>
      <c r="D23" s="13">
        <v>5.441463025791176E-2</v>
      </c>
      <c r="E23" s="11"/>
      <c r="F23" s="11"/>
      <c r="G23" s="11"/>
      <c r="H23" s="13">
        <v>5.441463025791176E-2</v>
      </c>
      <c r="I23" s="6" t="e">
        <v>#DIV/0!</v>
      </c>
      <c r="J23" s="6" t="e">
        <v>#DIV/0!</v>
      </c>
      <c r="K23" s="14">
        <v>27.20731512895588</v>
      </c>
      <c r="L23" s="3"/>
      <c r="M23" s="1"/>
      <c r="N23" s="1"/>
    </row>
    <row r="24" spans="1:14" x14ac:dyDescent="0.2">
      <c r="A24" s="13" t="s">
        <v>42</v>
      </c>
      <c r="B24" s="13">
        <v>6.4677952001982536E-2</v>
      </c>
      <c r="C24" s="10">
        <v>32.338976000991266</v>
      </c>
      <c r="D24" s="13">
        <v>6.8574683688102891E-2</v>
      </c>
      <c r="E24" s="11">
        <v>4.5999999999999999E-2</v>
      </c>
      <c r="F24" s="11">
        <v>5.7000000000000002E-2</v>
      </c>
      <c r="G24" s="11">
        <v>4.5999999999999999E-2</v>
      </c>
      <c r="H24" s="13">
        <v>5.4393670922025725E-2</v>
      </c>
      <c r="I24" s="6">
        <v>1.0782725342399262E-2</v>
      </c>
      <c r="J24" s="6">
        <v>19.823492622618698</v>
      </c>
      <c r="K24" s="14">
        <v>27.196835461012864</v>
      </c>
      <c r="L24" s="3">
        <f>AVERAGE(C24,K24)</f>
        <v>29.767905731002067</v>
      </c>
      <c r="M24" s="1">
        <f>STDEV(C24,K24)</f>
        <v>3.6360424456329836</v>
      </c>
      <c r="N24" s="1">
        <f>M24*100/L24</f>
        <v>12.214639748224522</v>
      </c>
    </row>
    <row r="25" spans="1:14" x14ac:dyDescent="0.2">
      <c r="A25" s="13" t="s">
        <v>41</v>
      </c>
      <c r="B25" s="13">
        <v>4.6451645635509166E-2</v>
      </c>
      <c r="C25" s="10">
        <v>23.225822817754583</v>
      </c>
      <c r="D25" s="13"/>
      <c r="E25" s="11"/>
      <c r="F25" s="11"/>
      <c r="G25" s="11"/>
      <c r="H25" s="13"/>
      <c r="I25" s="6"/>
      <c r="J25" s="6"/>
      <c r="K25" s="14"/>
      <c r="L25" s="3"/>
      <c r="M25" s="1"/>
      <c r="N25" s="1"/>
    </row>
    <row r="26" spans="1:14" x14ac:dyDescent="0.2">
      <c r="A26" s="13" t="s">
        <v>40</v>
      </c>
      <c r="B26" s="13">
        <v>6.4257980515873794E-2</v>
      </c>
      <c r="C26" s="10">
        <v>32.128990257936898</v>
      </c>
      <c r="D26" s="13"/>
      <c r="E26" s="11"/>
      <c r="F26" s="11"/>
      <c r="G26" s="11"/>
      <c r="H26" s="13"/>
      <c r="I26" s="6"/>
      <c r="J26" s="6"/>
      <c r="K26" s="14"/>
      <c r="L26" s="3"/>
      <c r="M26" s="1"/>
      <c r="N26" s="1"/>
    </row>
    <row r="27" spans="1:14" x14ac:dyDescent="0.2">
      <c r="A27" s="13" t="s">
        <v>39</v>
      </c>
      <c r="B27" s="13">
        <v>3.9358063239256169E-2</v>
      </c>
      <c r="C27" s="10">
        <v>19.679031619628084</v>
      </c>
      <c r="D27" s="13"/>
      <c r="E27" s="11"/>
      <c r="F27" s="11"/>
      <c r="G27" s="11"/>
      <c r="H27" s="13"/>
      <c r="I27" s="6"/>
      <c r="J27" s="6"/>
      <c r="K27" s="14"/>
      <c r="L27" s="3"/>
      <c r="M27" s="1"/>
      <c r="N27" s="1"/>
    </row>
    <row r="28" spans="1:14" x14ac:dyDescent="0.2">
      <c r="A28" s="11" t="s">
        <v>38</v>
      </c>
      <c r="B28" s="11"/>
      <c r="C28" s="10"/>
      <c r="D28" s="13"/>
      <c r="E28" s="11">
        <v>3.6999999999999998E-2</v>
      </c>
      <c r="F28" s="11">
        <v>5.3999999999999999E-2</v>
      </c>
      <c r="G28" s="11">
        <v>4.5999999999999999E-2</v>
      </c>
      <c r="H28" s="13">
        <v>4.5666666666666668E-2</v>
      </c>
      <c r="I28" s="6">
        <v>8.504900548115318E-3</v>
      </c>
      <c r="J28" s="6">
        <v>18.623869813391206</v>
      </c>
      <c r="K28" s="14">
        <v>22.833333333333332</v>
      </c>
      <c r="L28" s="3"/>
      <c r="M28" s="1"/>
      <c r="N28" s="1"/>
    </row>
    <row r="29" spans="1:14" x14ac:dyDescent="0.2">
      <c r="A29" s="11" t="s">
        <v>37</v>
      </c>
      <c r="B29" s="11">
        <v>6.7880374226106474E-2</v>
      </c>
      <c r="C29" s="10">
        <v>33.940187113053234</v>
      </c>
      <c r="D29" s="13"/>
      <c r="E29" s="11"/>
      <c r="F29" s="11"/>
      <c r="G29" s="11"/>
      <c r="H29" s="13"/>
      <c r="I29" s="6"/>
      <c r="J29" s="6"/>
      <c r="K29" s="14"/>
      <c r="L29" s="3"/>
      <c r="M29" s="1"/>
      <c r="N29" s="1"/>
    </row>
    <row r="30" spans="1:14" x14ac:dyDescent="0.2">
      <c r="A30" s="11" t="s">
        <v>36</v>
      </c>
      <c r="B30" s="11">
        <v>5.120633331011383E-2</v>
      </c>
      <c r="C30" s="10">
        <v>25.603166655056913</v>
      </c>
      <c r="D30" s="13"/>
      <c r="E30" s="11"/>
      <c r="F30" s="11"/>
      <c r="G30" s="11"/>
      <c r="H30" s="13"/>
      <c r="I30" s="6"/>
      <c r="J30" s="6"/>
      <c r="K30" s="14"/>
      <c r="L30" s="3"/>
      <c r="M30" s="1"/>
      <c r="N30" s="1"/>
    </row>
    <row r="31" spans="1:14" x14ac:dyDescent="0.2">
      <c r="A31" s="11" t="s">
        <v>35</v>
      </c>
      <c r="B31" s="11">
        <v>5.8401161440193507E-2</v>
      </c>
      <c r="C31" s="10">
        <v>29.200580720096752</v>
      </c>
      <c r="D31" s="13"/>
      <c r="E31" s="11"/>
      <c r="F31" s="11"/>
      <c r="G31" s="11"/>
      <c r="H31" s="13"/>
      <c r="I31" s="6"/>
      <c r="J31" s="6"/>
      <c r="K31" s="14"/>
      <c r="L31" s="3"/>
      <c r="M31" s="1"/>
      <c r="N31" s="1"/>
    </row>
    <row r="32" spans="1:14" x14ac:dyDescent="0.2">
      <c r="A32" s="13" t="s">
        <v>34</v>
      </c>
      <c r="B32" s="13"/>
      <c r="C32" s="10"/>
      <c r="D32" s="13">
        <v>5.5502644460596086E-2</v>
      </c>
      <c r="E32" s="11">
        <v>4.8000000000000001E-2</v>
      </c>
      <c r="F32" s="11">
        <v>3.7999999999999999E-2</v>
      </c>
      <c r="G32" s="11">
        <v>4.5999999999999999E-2</v>
      </c>
      <c r="H32" s="13">
        <v>4.6875661115149028E-2</v>
      </c>
      <c r="I32" s="6">
        <v>7.1933562447154481E-3</v>
      </c>
      <c r="J32" s="6">
        <v>15.345610224131299</v>
      </c>
      <c r="K32" s="14">
        <v>23.437830557574515</v>
      </c>
      <c r="L32" s="3"/>
      <c r="M32" s="1"/>
      <c r="N32" s="1"/>
    </row>
    <row r="33" spans="1:14" x14ac:dyDescent="0.2">
      <c r="A33" s="13" t="s">
        <v>33</v>
      </c>
      <c r="B33" s="13">
        <v>0.10369970929748833</v>
      </c>
      <c r="C33" s="10">
        <v>51.849854648744163</v>
      </c>
      <c r="D33" s="13"/>
      <c r="E33" s="11"/>
      <c r="F33" s="11"/>
      <c r="G33" s="11"/>
      <c r="H33" s="13"/>
      <c r="I33" s="6"/>
      <c r="J33" s="6"/>
      <c r="K33" s="14"/>
      <c r="L33" s="3"/>
      <c r="M33" s="1"/>
      <c r="N33" s="1"/>
    </row>
    <row r="34" spans="1:14" x14ac:dyDescent="0.2">
      <c r="A34" s="13" t="s">
        <v>32</v>
      </c>
      <c r="B34" s="13">
        <v>6.9819607524994595E-2</v>
      </c>
      <c r="C34" s="10">
        <v>34.909803762497297</v>
      </c>
      <c r="D34" s="13"/>
      <c r="E34" s="11"/>
      <c r="F34" s="11"/>
      <c r="G34" s="11"/>
      <c r="H34" s="13"/>
      <c r="I34" s="6"/>
      <c r="J34" s="6"/>
      <c r="K34" s="14"/>
      <c r="L34" s="3"/>
      <c r="M34" s="1"/>
      <c r="N34" s="1"/>
    </row>
    <row r="35" spans="1:14" x14ac:dyDescent="0.2">
      <c r="A35" s="15" t="s">
        <v>31</v>
      </c>
      <c r="B35" s="13">
        <v>3.0661926329605009E-2</v>
      </c>
      <c r="C35" s="10">
        <v>15.330963164802505</v>
      </c>
      <c r="D35" s="13"/>
      <c r="E35" s="11"/>
      <c r="F35" s="11"/>
      <c r="G35" s="11"/>
      <c r="H35" s="13"/>
      <c r="I35" s="6"/>
      <c r="J35" s="6"/>
      <c r="K35" s="14"/>
      <c r="L35" s="3"/>
      <c r="M35" s="1"/>
      <c r="N35" s="1"/>
    </row>
    <row r="36" spans="1:14" x14ac:dyDescent="0.2">
      <c r="A36" s="13" t="s">
        <v>30</v>
      </c>
      <c r="B36" s="13">
        <v>4.1014255068676266E-2</v>
      </c>
      <c r="C36" s="10">
        <v>20.507127534338132</v>
      </c>
      <c r="D36" s="13">
        <v>6.2845768650089492E-2</v>
      </c>
      <c r="E36" s="11">
        <v>8.7999999999999995E-2</v>
      </c>
      <c r="F36" s="11">
        <v>6.7000000000000004E-2</v>
      </c>
      <c r="G36" s="11">
        <v>5.6000000000000001E-2</v>
      </c>
      <c r="H36" s="13">
        <v>6.8461442162522368E-2</v>
      </c>
      <c r="I36" s="6">
        <v>1.3792683873839169E-2</v>
      </c>
      <c r="J36" s="6">
        <v>20.146645232942017</v>
      </c>
      <c r="K36" s="14">
        <v>34.23072108126118</v>
      </c>
      <c r="L36" s="9">
        <f>AVERAGE(C36,K36)</f>
        <v>27.368924307799656</v>
      </c>
      <c r="M36" s="8">
        <f>STDEV(C36,K36)</f>
        <v>9.7040460592772337</v>
      </c>
      <c r="N36" s="8">
        <f>M36*100/L36</f>
        <v>35.45643939141501</v>
      </c>
    </row>
    <row r="37" spans="1:14" x14ac:dyDescent="0.2">
      <c r="A37" s="13" t="s">
        <v>29</v>
      </c>
      <c r="B37" s="13">
        <v>6.5336522918853959E-2</v>
      </c>
      <c r="C37" s="10">
        <v>32.668261459426979</v>
      </c>
      <c r="D37" s="13">
        <v>5.4459755073056129E-2</v>
      </c>
      <c r="E37" s="11">
        <v>6.6000000000000003E-2</v>
      </c>
      <c r="F37" s="11">
        <v>5.5E-2</v>
      </c>
      <c r="G37" s="11">
        <v>7.2999999999999995E-2</v>
      </c>
      <c r="H37" s="13">
        <v>6.211493876826403E-2</v>
      </c>
      <c r="I37" s="6">
        <v>8.9963409205539909E-3</v>
      </c>
      <c r="J37" s="6">
        <v>14.483377266324267</v>
      </c>
      <c r="K37" s="14">
        <v>31.057469384132016</v>
      </c>
      <c r="L37" s="3">
        <f>AVERAGE(C37,K37)</f>
        <v>31.862865421779496</v>
      </c>
      <c r="M37" s="1">
        <f>STDEV(C37,K37)</f>
        <v>1.1390019995226204</v>
      </c>
      <c r="N37" s="1">
        <f>M37*100/L37</f>
        <v>3.5747004685399975</v>
      </c>
    </row>
    <row r="38" spans="1:14" x14ac:dyDescent="0.2">
      <c r="A38" s="13" t="s">
        <v>28</v>
      </c>
      <c r="B38" s="13">
        <v>4.970009768930371E-2</v>
      </c>
      <c r="C38" s="10">
        <v>24.850048844651855</v>
      </c>
      <c r="D38" s="13"/>
      <c r="E38" s="11"/>
      <c r="F38" s="11"/>
      <c r="G38" s="11"/>
      <c r="H38" s="13"/>
      <c r="I38" s="6"/>
      <c r="J38" s="6"/>
      <c r="K38" s="14"/>
      <c r="L38" s="3"/>
      <c r="M38" s="1"/>
      <c r="N38" s="1"/>
    </row>
    <row r="39" spans="1:14" x14ac:dyDescent="0.2">
      <c r="A39" s="13" t="s">
        <v>27</v>
      </c>
      <c r="B39" s="13"/>
      <c r="C39" s="10"/>
      <c r="D39" s="13">
        <v>9.9290280532288666E-2</v>
      </c>
      <c r="E39" s="11">
        <v>9.0999999999999998E-2</v>
      </c>
      <c r="F39" s="6"/>
      <c r="G39" s="6"/>
      <c r="H39" s="13">
        <v>9.5145140266144332E-2</v>
      </c>
      <c r="I39" s="6">
        <v>5.8621135823201378E-3</v>
      </c>
      <c r="J39" s="6">
        <v>6.161232792260714</v>
      </c>
      <c r="K39" s="14">
        <v>47.572570133072162</v>
      </c>
      <c r="L39" s="3"/>
      <c r="M39" s="1"/>
      <c r="N39" s="1"/>
    </row>
    <row r="40" spans="1:14" x14ac:dyDescent="0.2">
      <c r="A40" s="13" t="s">
        <v>26</v>
      </c>
      <c r="B40" s="13">
        <v>9.1064499760100087E-2</v>
      </c>
      <c r="C40" s="10">
        <v>45.532249880050045</v>
      </c>
      <c r="D40" s="13"/>
      <c r="E40" s="11"/>
      <c r="F40" s="6"/>
      <c r="G40" s="6"/>
      <c r="H40" s="13"/>
      <c r="I40" s="6"/>
      <c r="J40" s="6"/>
      <c r="K40" s="14"/>
      <c r="L40" s="3"/>
      <c r="M40" s="1"/>
      <c r="N40" s="1"/>
    </row>
    <row r="41" spans="1:14" x14ac:dyDescent="0.2">
      <c r="A41" s="13" t="s">
        <v>25</v>
      </c>
      <c r="B41" s="13"/>
      <c r="C41" s="10"/>
      <c r="D41" s="6" t="s">
        <v>10</v>
      </c>
      <c r="E41" s="6" t="s">
        <v>9</v>
      </c>
      <c r="F41" s="6" t="s">
        <v>8</v>
      </c>
      <c r="G41" s="6" t="s">
        <v>7</v>
      </c>
      <c r="H41" s="6"/>
      <c r="I41" s="6"/>
      <c r="J41" s="6"/>
      <c r="K41" s="4"/>
      <c r="L41" s="3"/>
      <c r="M41" s="1"/>
      <c r="N41" s="1"/>
    </row>
    <row r="42" spans="1:14" x14ac:dyDescent="0.2">
      <c r="A42" s="11" t="s">
        <v>24</v>
      </c>
      <c r="B42" s="11">
        <v>4.5651009768792147E-2</v>
      </c>
      <c r="C42" s="10">
        <v>22.825504884396072</v>
      </c>
      <c r="D42" s="6"/>
      <c r="E42" s="6"/>
      <c r="F42" s="11">
        <v>0.186</v>
      </c>
      <c r="G42" s="11">
        <v>0.16900000000000001</v>
      </c>
      <c r="H42" s="13">
        <f>AVERAGE(D42:G42)</f>
        <v>0.17749999999999999</v>
      </c>
      <c r="I42" s="6">
        <f>STDEV(D42:G42)</f>
        <v>1.2020815280171298E-2</v>
      </c>
      <c r="J42" s="6">
        <f>I42*100/H42</f>
        <v>6.7722902986880555</v>
      </c>
      <c r="K42" s="12">
        <f>H42/0.002</f>
        <v>88.75</v>
      </c>
      <c r="L42" s="9">
        <f>AVERAGE(C42,K42)</f>
        <v>55.787752442198034</v>
      </c>
      <c r="M42" s="8">
        <f>STDEV(C42,K42)</f>
        <v>46.615657542542976</v>
      </c>
      <c r="N42" s="8">
        <f>M42*100/L42</f>
        <v>83.558945291516608</v>
      </c>
    </row>
    <row r="43" spans="1:14" x14ac:dyDescent="0.2">
      <c r="A43" s="11" t="s">
        <v>24</v>
      </c>
      <c r="B43" s="11">
        <v>4.5651009768792147E-2</v>
      </c>
      <c r="C43" s="10">
        <v>22.825504884396072</v>
      </c>
      <c r="D43" s="6"/>
      <c r="E43" s="6"/>
      <c r="F43" s="11"/>
      <c r="G43" s="11"/>
      <c r="H43" s="13"/>
      <c r="I43" s="6"/>
      <c r="J43" s="6"/>
      <c r="K43" s="12"/>
      <c r="L43" s="3"/>
      <c r="M43" s="1"/>
      <c r="N43" s="2"/>
    </row>
    <row r="44" spans="1:14" x14ac:dyDescent="0.2">
      <c r="A44" s="11" t="s">
        <v>23</v>
      </c>
      <c r="B44" s="11">
        <v>2.9642435993335561E-2</v>
      </c>
      <c r="C44" s="10">
        <v>14.82121799666778</v>
      </c>
      <c r="D44" s="6"/>
      <c r="E44" s="6"/>
      <c r="F44" s="11"/>
      <c r="G44" s="11"/>
      <c r="H44" s="13"/>
      <c r="I44" s="6"/>
      <c r="J44" s="6"/>
      <c r="K44" s="12"/>
      <c r="L44" s="3"/>
      <c r="M44" s="1"/>
      <c r="N44" s="2"/>
    </row>
    <row r="45" spans="1:14" x14ac:dyDescent="0.2">
      <c r="A45" s="11" t="s">
        <v>22</v>
      </c>
      <c r="B45" s="11">
        <v>4.0533298305223738E-2</v>
      </c>
      <c r="C45" s="10">
        <v>20.266649152611869</v>
      </c>
      <c r="D45" s="6"/>
      <c r="E45" s="6"/>
      <c r="F45" s="11"/>
      <c r="G45" s="11"/>
      <c r="H45" s="13"/>
      <c r="I45" s="6"/>
      <c r="J45" s="6"/>
      <c r="K45" s="12"/>
      <c r="L45" s="3"/>
      <c r="M45" s="1"/>
      <c r="N45" s="2"/>
    </row>
    <row r="46" spans="1:14" x14ac:dyDescent="0.2">
      <c r="A46" s="11" t="s">
        <v>21</v>
      </c>
      <c r="B46" s="11">
        <v>4.7069881242545956E-2</v>
      </c>
      <c r="C46" s="10">
        <v>23.534940621272977</v>
      </c>
      <c r="D46" s="6"/>
      <c r="E46" s="6"/>
      <c r="F46" s="11"/>
      <c r="G46" s="11"/>
      <c r="H46" s="13"/>
      <c r="I46" s="6"/>
      <c r="J46" s="6"/>
      <c r="K46" s="12"/>
      <c r="L46" s="3"/>
      <c r="M46" s="1"/>
      <c r="N46" s="2"/>
    </row>
    <row r="47" spans="1:14" x14ac:dyDescent="0.2">
      <c r="A47" s="11" t="s">
        <v>20</v>
      </c>
      <c r="B47" s="11">
        <v>4.741714159640853E-2</v>
      </c>
      <c r="C47" s="10">
        <v>23.708570798204263</v>
      </c>
      <c r="D47" s="6"/>
      <c r="E47" s="6"/>
      <c r="F47" s="11"/>
      <c r="G47" s="11"/>
      <c r="H47" s="13"/>
      <c r="I47" s="6"/>
      <c r="J47" s="6"/>
      <c r="K47" s="12"/>
      <c r="L47" s="3"/>
      <c r="M47" s="1"/>
      <c r="N47" s="2"/>
    </row>
    <row r="48" spans="1:14" x14ac:dyDescent="0.2">
      <c r="A48" s="11" t="s">
        <v>19</v>
      </c>
      <c r="B48" s="11">
        <v>3.5958307801619897E-2</v>
      </c>
      <c r="C48" s="10">
        <v>17.979153900809948</v>
      </c>
      <c r="D48" s="6"/>
      <c r="E48" s="6"/>
      <c r="F48" s="11"/>
      <c r="G48" s="11"/>
      <c r="H48" s="13"/>
      <c r="I48" s="6"/>
      <c r="J48" s="6"/>
      <c r="K48" s="12"/>
      <c r="L48" s="3"/>
      <c r="M48" s="1"/>
      <c r="N48" s="2"/>
    </row>
    <row r="49" spans="1:14" x14ac:dyDescent="0.2">
      <c r="A49" s="11" t="s">
        <v>18</v>
      </c>
      <c r="B49" s="11"/>
      <c r="C49" s="10"/>
      <c r="D49" s="6"/>
      <c r="E49" s="6"/>
      <c r="F49" s="11">
        <v>0.20300000000000001</v>
      </c>
      <c r="G49" s="11">
        <v>0.17699999999999999</v>
      </c>
      <c r="H49" s="13">
        <f t="shared" ref="H49:H55" si="0">AVERAGE(D49:G49)</f>
        <v>0.19</v>
      </c>
      <c r="I49" s="6">
        <f t="shared" ref="I49:I55" si="1">STDEV(D49:G49)</f>
        <v>1.8384776310850254E-2</v>
      </c>
      <c r="J49" s="6">
        <f t="shared" ref="J49:J55" si="2">I49*100/H49</f>
        <v>9.6761980583422389</v>
      </c>
      <c r="K49" s="12">
        <f t="shared" ref="K49:K55" si="3">H49/0.002</f>
        <v>95</v>
      </c>
      <c r="L49" s="3"/>
      <c r="M49" s="1"/>
      <c r="N49" s="2"/>
    </row>
    <row r="50" spans="1:14" x14ac:dyDescent="0.2">
      <c r="A50" s="11" t="s">
        <v>17</v>
      </c>
      <c r="B50" s="11"/>
      <c r="C50" s="10"/>
      <c r="D50" s="6"/>
      <c r="E50" s="6"/>
      <c r="F50" s="11">
        <v>3.9E-2</v>
      </c>
      <c r="G50" s="11">
        <v>5.2999999999999999E-2</v>
      </c>
      <c r="H50" s="13">
        <f t="shared" si="0"/>
        <v>4.5999999999999999E-2</v>
      </c>
      <c r="I50" s="6">
        <f t="shared" si="1"/>
        <v>9.899494936611665E-3</v>
      </c>
      <c r="J50" s="6">
        <f t="shared" si="2"/>
        <v>21.520641166547097</v>
      </c>
      <c r="K50" s="12">
        <f t="shared" si="3"/>
        <v>23</v>
      </c>
      <c r="L50" s="3"/>
      <c r="M50" s="1"/>
      <c r="N50" s="2"/>
    </row>
    <row r="51" spans="1:14" x14ac:dyDescent="0.2">
      <c r="A51" s="11" t="s">
        <v>16</v>
      </c>
      <c r="B51" s="11"/>
      <c r="C51" s="10"/>
      <c r="D51" s="6"/>
      <c r="E51" s="6"/>
      <c r="F51" s="11">
        <v>4.4999999999999998E-2</v>
      </c>
      <c r="G51" s="11">
        <v>4.7E-2</v>
      </c>
      <c r="H51" s="13">
        <f t="shared" si="0"/>
        <v>4.5999999999999999E-2</v>
      </c>
      <c r="I51" s="6">
        <f t="shared" si="1"/>
        <v>1.4142135623730963E-3</v>
      </c>
      <c r="J51" s="6">
        <f t="shared" si="2"/>
        <v>3.0743773095067315</v>
      </c>
      <c r="K51" s="12">
        <f t="shared" si="3"/>
        <v>23</v>
      </c>
      <c r="L51" s="3"/>
      <c r="M51" s="1"/>
      <c r="N51" s="2"/>
    </row>
    <row r="52" spans="1:14" x14ac:dyDescent="0.2">
      <c r="A52" s="11" t="s">
        <v>15</v>
      </c>
      <c r="B52" s="11"/>
      <c r="C52" s="10"/>
      <c r="D52" s="6"/>
      <c r="E52" s="6"/>
      <c r="F52" s="11">
        <v>4.4999999999999998E-2</v>
      </c>
      <c r="G52" s="11">
        <v>4.7E-2</v>
      </c>
      <c r="H52" s="13">
        <f t="shared" si="0"/>
        <v>4.5999999999999999E-2</v>
      </c>
      <c r="I52" s="6">
        <f t="shared" si="1"/>
        <v>1.4142135623730963E-3</v>
      </c>
      <c r="J52" s="6">
        <f t="shared" si="2"/>
        <v>3.0743773095067315</v>
      </c>
      <c r="K52" s="12">
        <f t="shared" si="3"/>
        <v>23</v>
      </c>
      <c r="L52" s="3"/>
      <c r="M52" s="1"/>
      <c r="N52" s="2"/>
    </row>
    <row r="53" spans="1:14" x14ac:dyDescent="0.2">
      <c r="A53" s="11" t="s">
        <v>14</v>
      </c>
      <c r="B53" s="11"/>
      <c r="C53" s="10"/>
      <c r="D53" s="6"/>
      <c r="E53" s="6"/>
      <c r="F53" s="11">
        <v>3.9E-2</v>
      </c>
      <c r="G53" s="11">
        <v>5.2999999999999999E-2</v>
      </c>
      <c r="H53" s="13">
        <f t="shared" si="0"/>
        <v>4.5999999999999999E-2</v>
      </c>
      <c r="I53" s="6">
        <f t="shared" si="1"/>
        <v>9.899494936611665E-3</v>
      </c>
      <c r="J53" s="6">
        <f t="shared" si="2"/>
        <v>21.520641166547097</v>
      </c>
      <c r="K53" s="12">
        <f t="shared" si="3"/>
        <v>23</v>
      </c>
      <c r="L53" s="3"/>
      <c r="M53" s="1"/>
      <c r="N53" s="2"/>
    </row>
    <row r="54" spans="1:14" x14ac:dyDescent="0.2">
      <c r="A54" s="11" t="s">
        <v>13</v>
      </c>
      <c r="B54" s="11"/>
      <c r="C54" s="10"/>
      <c r="D54" s="6"/>
      <c r="E54" s="6"/>
      <c r="F54" s="11">
        <v>3.9E-2</v>
      </c>
      <c r="G54" s="11">
        <v>5.2999999999999999E-2</v>
      </c>
      <c r="H54" s="13">
        <f t="shared" si="0"/>
        <v>4.5999999999999999E-2</v>
      </c>
      <c r="I54" s="6">
        <f t="shared" si="1"/>
        <v>9.899494936611665E-3</v>
      </c>
      <c r="J54" s="6">
        <f t="shared" si="2"/>
        <v>21.520641166547097</v>
      </c>
      <c r="K54" s="12">
        <f t="shared" si="3"/>
        <v>23</v>
      </c>
      <c r="L54" s="3"/>
      <c r="M54" s="1"/>
      <c r="N54" s="2"/>
    </row>
    <row r="55" spans="1:14" x14ac:dyDescent="0.2">
      <c r="A55" s="11" t="s">
        <v>12</v>
      </c>
      <c r="B55" s="11"/>
      <c r="C55" s="10"/>
      <c r="D55" s="6"/>
      <c r="E55" s="6"/>
      <c r="F55" s="11">
        <v>3.5999999999999997E-2</v>
      </c>
      <c r="G55" s="11">
        <v>5.0999999999999997E-2</v>
      </c>
      <c r="H55" s="13">
        <f t="shared" si="0"/>
        <v>4.3499999999999997E-2</v>
      </c>
      <c r="I55" s="6">
        <f t="shared" si="1"/>
        <v>1.0606601717798201E-2</v>
      </c>
      <c r="J55" s="6">
        <f t="shared" si="2"/>
        <v>24.382992454708511</v>
      </c>
      <c r="K55" s="12">
        <f t="shared" si="3"/>
        <v>21.749999999999996</v>
      </c>
      <c r="L55" s="3"/>
      <c r="M55" s="1"/>
      <c r="N55" s="2"/>
    </row>
    <row r="56" spans="1:14" x14ac:dyDescent="0.2">
      <c r="A56" s="11" t="s">
        <v>11</v>
      </c>
      <c r="B56" s="11"/>
      <c r="C56" s="10"/>
      <c r="D56" s="6" t="s">
        <v>10</v>
      </c>
      <c r="E56" s="6" t="s">
        <v>9</v>
      </c>
      <c r="F56" s="6" t="s">
        <v>8</v>
      </c>
      <c r="G56" s="6" t="s">
        <v>7</v>
      </c>
      <c r="H56" s="5"/>
      <c r="I56" s="5"/>
      <c r="J56" s="5"/>
      <c r="K56" s="4"/>
      <c r="L56" s="3"/>
      <c r="M56" s="1"/>
      <c r="N56" s="2"/>
    </row>
    <row r="57" spans="1:14" x14ac:dyDescent="0.2">
      <c r="A57" s="5" t="s">
        <v>6</v>
      </c>
      <c r="B57" s="5">
        <v>5.4000000000000006E-2</v>
      </c>
      <c r="C57" s="7">
        <v>27</v>
      </c>
      <c r="D57" s="5">
        <v>8.2000000000000003E-2</v>
      </c>
      <c r="E57" s="5">
        <v>8.2000000000000003E-2</v>
      </c>
      <c r="F57" s="6"/>
      <c r="G57" s="6"/>
      <c r="H57" s="5">
        <v>8.2000000000000003E-2</v>
      </c>
      <c r="I57" s="5">
        <v>0</v>
      </c>
      <c r="J57" s="5">
        <v>0</v>
      </c>
      <c r="K57" s="4">
        <v>41</v>
      </c>
      <c r="L57" s="9">
        <f>AVERAGE(C57,K57)</f>
        <v>34</v>
      </c>
      <c r="M57" s="8">
        <f>STDEV(C57,K57)</f>
        <v>9.8994949366116654</v>
      </c>
      <c r="N57" s="8">
        <f>M57*100/L57</f>
        <v>29.116161578269605</v>
      </c>
    </row>
    <row r="58" spans="1:14" x14ac:dyDescent="0.2">
      <c r="A58" s="5" t="s">
        <v>5</v>
      </c>
      <c r="B58" s="5">
        <v>8.900000000000001E-2</v>
      </c>
      <c r="C58" s="7">
        <v>44.5</v>
      </c>
      <c r="D58" s="5">
        <v>6.7000000000000004E-2</v>
      </c>
      <c r="E58" s="5">
        <v>9.0999999999999998E-2</v>
      </c>
      <c r="F58" s="6"/>
      <c r="G58" s="6"/>
      <c r="H58" s="5">
        <v>7.9000000000000001E-2</v>
      </c>
      <c r="I58" s="5">
        <v>1.6970562748477143E-2</v>
      </c>
      <c r="J58" s="5">
        <v>21.481724998072334</v>
      </c>
      <c r="K58" s="4">
        <v>39.5</v>
      </c>
      <c r="L58" s="3">
        <f>AVERAGE(C58,K58)</f>
        <v>42</v>
      </c>
      <c r="M58" s="1">
        <f>STDEV(C58,K58)</f>
        <v>3.5355339059327378</v>
      </c>
      <c r="N58" s="2">
        <f>M58*100/L58</f>
        <v>8.417937871268423</v>
      </c>
    </row>
    <row r="59" spans="1:14" x14ac:dyDescent="0.2">
      <c r="A59" s="5" t="s">
        <v>4</v>
      </c>
      <c r="B59" s="5">
        <v>4.9000000000000002E-2</v>
      </c>
      <c r="C59" s="7">
        <v>24.5</v>
      </c>
      <c r="D59" s="5">
        <v>6.3E-2</v>
      </c>
      <c r="E59" s="5">
        <v>4.7E-2</v>
      </c>
      <c r="F59" s="6"/>
      <c r="G59" s="6"/>
      <c r="H59" s="5">
        <v>5.5E-2</v>
      </c>
      <c r="I59" s="5">
        <v>1.1313708498984783E-2</v>
      </c>
      <c r="J59" s="5">
        <v>20.570379089063241</v>
      </c>
      <c r="K59" s="4">
        <v>27.5</v>
      </c>
      <c r="L59" s="3">
        <f>AVERAGE(C59,K59)</f>
        <v>26</v>
      </c>
      <c r="M59" s="1">
        <f>STDEV(C59,K59)</f>
        <v>2.1213203435596424</v>
      </c>
      <c r="N59" s="2">
        <f>M59*100/L59</f>
        <v>8.1589243983063167</v>
      </c>
    </row>
    <row r="60" spans="1:14" x14ac:dyDescent="0.2">
      <c r="A60" s="5" t="s">
        <v>3</v>
      </c>
      <c r="B60" s="5"/>
      <c r="C60" s="7"/>
      <c r="D60" s="5">
        <v>6.3E-2</v>
      </c>
      <c r="E60" s="5">
        <v>4.7E-2</v>
      </c>
      <c r="F60" s="6"/>
      <c r="G60" s="6"/>
      <c r="H60" s="5">
        <v>5.5E-2</v>
      </c>
      <c r="I60" s="5">
        <v>1.1313708498984783E-2</v>
      </c>
      <c r="J60" s="5">
        <v>20.570379089063241</v>
      </c>
      <c r="K60" s="4">
        <v>27.5</v>
      </c>
      <c r="L60" s="3"/>
      <c r="M60" s="1"/>
      <c r="N60" s="2"/>
    </row>
    <row r="61" spans="1:14" x14ac:dyDescent="0.2">
      <c r="A61" s="5" t="s">
        <v>2</v>
      </c>
      <c r="B61" s="5"/>
      <c r="C61" s="7"/>
      <c r="D61" s="5">
        <v>6.3E-2</v>
      </c>
      <c r="E61" s="5">
        <v>0.08</v>
      </c>
      <c r="F61" s="6"/>
      <c r="G61" s="6"/>
      <c r="H61" s="5">
        <v>7.1500000000000008E-2</v>
      </c>
      <c r="I61" s="5">
        <v>1.2020815280171186E-2</v>
      </c>
      <c r="J61" s="5">
        <v>16.812329063176481</v>
      </c>
      <c r="K61" s="4">
        <v>35.75</v>
      </c>
      <c r="L61" s="3"/>
      <c r="M61" s="1"/>
      <c r="N61" s="2"/>
    </row>
    <row r="62" spans="1:14" x14ac:dyDescent="0.2">
      <c r="A62" s="5" t="s">
        <v>1</v>
      </c>
      <c r="B62" s="5"/>
      <c r="C62" s="7"/>
      <c r="D62" s="5">
        <v>9.4E-2</v>
      </c>
      <c r="E62" s="5">
        <v>8.6999999999999994E-2</v>
      </c>
      <c r="F62" s="6"/>
      <c r="G62" s="6"/>
      <c r="H62" s="5">
        <v>9.0499999999999997E-2</v>
      </c>
      <c r="I62" s="5">
        <v>4.9497474683058368E-3</v>
      </c>
      <c r="J62" s="5">
        <v>5.4693342191224721</v>
      </c>
      <c r="K62" s="4">
        <v>45.25</v>
      </c>
      <c r="L62" s="3"/>
      <c r="M62" s="1"/>
      <c r="N62" s="2"/>
    </row>
    <row r="63" spans="1:14" x14ac:dyDescent="0.2">
      <c r="A63" s="5" t="s">
        <v>0</v>
      </c>
      <c r="B63" s="5">
        <v>0.11</v>
      </c>
      <c r="C63" s="7">
        <v>55</v>
      </c>
      <c r="D63" s="5">
        <v>0.12</v>
      </c>
      <c r="E63" s="5">
        <v>0.13100000000000001</v>
      </c>
      <c r="F63" s="6"/>
      <c r="G63" s="6"/>
      <c r="H63" s="5">
        <v>0.1255</v>
      </c>
      <c r="I63" s="5">
        <v>7.7781745930520299E-3</v>
      </c>
      <c r="J63" s="5">
        <v>6.197748679722733</v>
      </c>
      <c r="K63" s="4">
        <v>62.75</v>
      </c>
      <c r="L63" s="3">
        <f>AVERAGE(C63,K63)</f>
        <v>58.875</v>
      </c>
      <c r="M63" s="1">
        <f>STDEV(C63,K63)</f>
        <v>5.4800775541957432</v>
      </c>
      <c r="N63" s="2">
        <f>M63*100/L63</f>
        <v>9.3079873531987154</v>
      </c>
    </row>
    <row r="64" spans="1:14" x14ac:dyDescent="0.2">
      <c r="L64" s="1"/>
      <c r="M64" s="1"/>
      <c r="N64" s="1"/>
    </row>
  </sheetData>
  <mergeCells count="8">
    <mergeCell ref="M6:M7"/>
    <mergeCell ref="N6:N7"/>
    <mergeCell ref="B6:B7"/>
    <mergeCell ref="D6:G6"/>
    <mergeCell ref="H6:H7"/>
    <mergeCell ref="I6:I7"/>
    <mergeCell ref="J6:J7"/>
    <mergeCell ref="L6:L7"/>
  </mergeCells>
  <conditionalFormatting sqref="J8:J40 J42:J55">
    <cfRule type="cellIs" dxfId="0" priority="1" operator="greaterThan">
      <formula>25</formula>
    </cfRule>
  </conditionalFormatting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>Università di Cagliari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Paola Pisano</dc:creator>
  <cp:lastModifiedBy>Rob Gifford</cp:lastModifiedBy>
  <dcterms:created xsi:type="dcterms:W3CDTF">2018-09-12T08:30:48Z</dcterms:created>
  <dcterms:modified xsi:type="dcterms:W3CDTF">2026-02-22T13:52:31Z</dcterms:modified>
</cp:coreProperties>
</file>