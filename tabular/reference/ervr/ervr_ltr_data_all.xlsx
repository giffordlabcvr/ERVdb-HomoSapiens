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/Projects/erv/locus-level/ERVdb-HomoSapiens/tabular/reference/ervr/"/>
    </mc:Choice>
  </mc:AlternateContent>
  <xr:revisionPtr revIDLastSave="0" documentId="13_ncr:1_{C56E78CF-97CD-6642-B180-B202E3CC12F7}" xr6:coauthVersionLast="45" xr6:coauthVersionMax="45" xr10:uidLastSave="{00000000-0000-0000-0000-000000000000}"/>
  <bookViews>
    <workbookView xWindow="7740" yWindow="840" windowWidth="21060" windowHeight="16940" xr2:uid="{00000000-000D-0000-FFFF-FFFF00000000}"/>
  </bookViews>
  <sheets>
    <sheet name="ltr_lineage_table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7" i="2" l="1"/>
  <c r="I26" i="2"/>
  <c r="I25" i="2" l="1"/>
  <c r="I24" i="2"/>
  <c r="I23" i="2" l="1"/>
  <c r="I22" i="2" l="1" a="1"/>
  <c r="I22" i="2" s="1"/>
  <c r="I21" i="2"/>
  <c r="I20" i="2"/>
  <c r="I19" i="2"/>
  <c r="I18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<sst xmlns="http://schemas.openxmlformats.org/spreadsheetml/2006/main" count="593" uniqueCount="146">
  <si>
    <t>LTR_name</t>
  </si>
  <si>
    <t>original_name</t>
  </si>
  <si>
    <t>phylogeny_group</t>
  </si>
  <si>
    <t>phylogeny_subgroup</t>
  </si>
  <si>
    <t>NA</t>
  </si>
  <si>
    <t>LTR26E</t>
  </si>
  <si>
    <t>Rho</t>
  </si>
  <si>
    <t>LTR58</t>
  </si>
  <si>
    <t>ERV-31</t>
  </si>
  <si>
    <t>Theta</t>
  </si>
  <si>
    <t>LOR1a_LTR</t>
  </si>
  <si>
    <t>LOR1a</t>
  </si>
  <si>
    <t>LOR1</t>
  </si>
  <si>
    <t>LTR-43</t>
  </si>
  <si>
    <t>LTR43</t>
  </si>
  <si>
    <t>LTR43B</t>
  </si>
  <si>
    <t>MER101</t>
  </si>
  <si>
    <t>MER-101</t>
  </si>
  <si>
    <t>Zeta</t>
  </si>
  <si>
    <t>HERV-HF</t>
  </si>
  <si>
    <t>LTR27B</t>
  </si>
  <si>
    <t>MER-52A</t>
  </si>
  <si>
    <t>LTR27D</t>
  </si>
  <si>
    <t>LTR27E</t>
  </si>
  <si>
    <t>MER52A</t>
  </si>
  <si>
    <t>MER52C</t>
  </si>
  <si>
    <t>MER52D</t>
  </si>
  <si>
    <t>MER34A</t>
  </si>
  <si>
    <t>MER34A1</t>
  </si>
  <si>
    <t>LTR19A</t>
  </si>
  <si>
    <t>HERV-19</t>
  </si>
  <si>
    <t>MER83</t>
  </si>
  <si>
    <t>MER-83A</t>
  </si>
  <si>
    <t>MER83B</t>
  </si>
  <si>
    <t>MER-83B</t>
  </si>
  <si>
    <t>MER83C</t>
  </si>
  <si>
    <t>MER84</t>
  </si>
  <si>
    <t>MER-84</t>
  </si>
  <si>
    <t>LTR60</t>
  </si>
  <si>
    <t>LTR85b</t>
  </si>
  <si>
    <t>MLT2B2</t>
  </si>
  <si>
    <t>Lambda</t>
  </si>
  <si>
    <t>ERV-L</t>
  </si>
  <si>
    <t>MLT2E</t>
  </si>
  <si>
    <t>ERV3-16A3_LTR</t>
  </si>
  <si>
    <t>ERV3-16A3</t>
  </si>
  <si>
    <t>LTR16A</t>
  </si>
  <si>
    <t>LTR16A1</t>
  </si>
  <si>
    <t>LTR16A2</t>
  </si>
  <si>
    <t>LTR16B</t>
  </si>
  <si>
    <t>LTR16B1</t>
  </si>
  <si>
    <t>LTR16B2</t>
  </si>
  <si>
    <t>LTR16C</t>
  </si>
  <si>
    <t>LTR16D</t>
  </si>
  <si>
    <t>LTR16D1</t>
  </si>
  <si>
    <t>LTR16D2</t>
  </si>
  <si>
    <t>LTR16E1</t>
  </si>
  <si>
    <t>LTR16E2</t>
  </si>
  <si>
    <t>LTR16</t>
  </si>
  <si>
    <t>HERV-16</t>
  </si>
  <si>
    <t>MLT2C2</t>
  </si>
  <si>
    <t>MLT2C1</t>
  </si>
  <si>
    <t>LTR52</t>
  </si>
  <si>
    <t>LTR40A1</t>
  </si>
  <si>
    <t>LTR40A</t>
  </si>
  <si>
    <t>LTR40a</t>
  </si>
  <si>
    <t>LTR40B</t>
  </si>
  <si>
    <t>LTR40b</t>
  </si>
  <si>
    <t>LTR40C</t>
  </si>
  <si>
    <t>LTR40c</t>
  </si>
  <si>
    <t>MER74C</t>
  </si>
  <si>
    <t>HERVL74</t>
  </si>
  <si>
    <t>LTR53</t>
  </si>
  <si>
    <t>LTR53B</t>
  </si>
  <si>
    <t>MER70A</t>
  </si>
  <si>
    <t>MER-70</t>
  </si>
  <si>
    <t>MER70B</t>
  </si>
  <si>
    <t>MER70C</t>
  </si>
  <si>
    <t>MER76</t>
  </si>
  <si>
    <t>MER-76</t>
  </si>
  <si>
    <t>LTR24C</t>
  </si>
  <si>
    <t>LTR33B</t>
  </si>
  <si>
    <t>LTR33C</t>
  </si>
  <si>
    <t>LTR41</t>
  </si>
  <si>
    <t>LTR41B</t>
  </si>
  <si>
    <t>LTR45C</t>
  </si>
  <si>
    <t>LTR56</t>
  </si>
  <si>
    <t>LTR64</t>
  </si>
  <si>
    <t>MER49</t>
  </si>
  <si>
    <t>MER72B</t>
  </si>
  <si>
    <t>MER77B</t>
  </si>
  <si>
    <t>LTR32</t>
  </si>
  <si>
    <t>MER54A</t>
  </si>
  <si>
    <t>flag</t>
  </si>
  <si>
    <t>assoc_category</t>
  </si>
  <si>
    <t>solo</t>
  </si>
  <si>
    <t>erv_1</t>
  </si>
  <si>
    <t>erv_3</t>
  </si>
  <si>
    <t>linked_element_status</t>
  </si>
  <si>
    <t>nk</t>
  </si>
  <si>
    <t>sublineage</t>
  </si>
  <si>
    <t>original_linked_element_name</t>
  </si>
  <si>
    <t>linked_element_name</t>
  </si>
  <si>
    <t>HERV-31</t>
  </si>
  <si>
    <t>HERV-L40</t>
  </si>
  <si>
    <t>HERV-52</t>
  </si>
  <si>
    <t>LTR-53</t>
  </si>
  <si>
    <t>linked_lineage_id</t>
  </si>
  <si>
    <t>linked_lineage_name</t>
  </si>
  <si>
    <t>clade</t>
  </si>
  <si>
    <t>I</t>
  </si>
  <si>
    <t>III</t>
  </si>
  <si>
    <t>ERV-3.Lambda.L</t>
  </si>
  <si>
    <t>ERVR-3.Lambda.16A3</t>
  </si>
  <si>
    <t>ERVR-3.Lambda.70</t>
  </si>
  <si>
    <t>ERVR-3.Lambda.76</t>
  </si>
  <si>
    <t>LOR1b_LTR</t>
  </si>
  <si>
    <t>LOR1b</t>
  </si>
  <si>
    <t>ERVR-1.Zeta.W9P.P.G25</t>
  </si>
  <si>
    <t>HERV-G25</t>
  </si>
  <si>
    <t>LTR25</t>
  </si>
  <si>
    <t>LTR47B2</t>
  </si>
  <si>
    <t>ERV-L47</t>
  </si>
  <si>
    <t>MER52B</t>
  </si>
  <si>
    <t>ERVR-1.Theta.24.101</t>
  </si>
  <si>
    <t>ERVR-1.Theta.24.LOR1</t>
  </si>
  <si>
    <t>ERVR-1.Zeta.HF.19</t>
  </si>
  <si>
    <t>ERVR-1.Zeta.83A</t>
  </si>
  <si>
    <t>ERVR-1.Zeta.83B</t>
  </si>
  <si>
    <t>ERVR-1.Zeta.84</t>
  </si>
  <si>
    <t>ERVR-1.Zeta.43</t>
  </si>
  <si>
    <t>ERVR-1.Zeta.HF.52A</t>
  </si>
  <si>
    <t>ERVR-3.Lambda.16</t>
  </si>
  <si>
    <t>ERVR-3.Lambda.40</t>
  </si>
  <si>
    <t>ERVR-3.Lambda.52</t>
  </si>
  <si>
    <t>ERVR-3.Lambda.74</t>
  </si>
  <si>
    <t>ERVR-3.Sigma.47</t>
  </si>
  <si>
    <t>LTR57</t>
  </si>
  <si>
    <t>ERVR-3.Sigma.57</t>
  </si>
  <si>
    <t>HERV-57</t>
  </si>
  <si>
    <t>MER110</t>
  </si>
  <si>
    <t>ERVR-1.Theta.24.110</t>
  </si>
  <si>
    <t>ERVR-1.Theta.24.89</t>
  </si>
  <si>
    <t>MER-89</t>
  </si>
  <si>
    <t>MER89</t>
  </si>
  <si>
    <t>MER-110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</si>
</sst>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85FF"/>
        <bgColor indexed="64"/>
      </patternFill>
    </fill>
    <fill>
      <patternFill patternType="solid">
        <fgColor theme="0" tint="-0.149967955565050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34" borderId="0" xfId="0" applyFill="1"/>
    <xf numFmtId="0" fontId="0" fillId="35" borderId="0" xfId="0" applyFill="1"/>
    <xf numFmtId="0" fontId="16" fillId="33" borderId="0" xfId="0" applyFont="1" applyFill="1"/>
    <xf numFmtId="0" fontId="18" fillId="0" borderId="0" xfId="0" applyFont="1"/>
    <xf numFmtId="0" fontId="0" fillId="36" borderId="0" xfId="0" applyFill="1"/>
    <xf numFmtId="0" fontId="18" fillId="36" borderId="0" xfId="0" applyFont="1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abSelected="1" topLeftCell="A12" zoomScale="114" zoomScaleNormal="114" workbookViewId="0">
      <selection activeCell="E30" sqref="E30:F30"/>
    </sheetView>
  </sheetViews>
  <sheetFormatPr baseColWidth="10" defaultRowHeight="16" x14ac:dyDescent="0.2"/>
  <cols>
    <col min="1" max="1" width="21.6640625" customWidth="1"/>
    <col min="2" max="2" width="14.6640625" customWidth="1"/>
    <col min="3" max="3" width="13.83203125" customWidth="1"/>
    <col min="4" max="4" width="25.83203125" customWidth="1"/>
    <col min="5" max="6" width="19.6640625" customWidth="1"/>
    <col min="7" max="7" width="12.1640625" customWidth="1"/>
    <col min="8" max="8" width="20.83203125" customWidth="1"/>
  </cols>
  <sheetData>
    <row r="1" spans="1:8" x14ac:dyDescent="0.2">
      <c r="A1" s="3" t="s">
        <v>0</v>
      </c>
      <c r="B1" s="3" t="s">
        <v>1</v>
      </c>
      <c r="C1" s="3" t="s">
        <v>109</v>
      </c>
      <c r="D1" s="3" t="s">
        <v>107</v>
      </c>
      <c r="E1" s="3" t="s">
        <v>108</v>
      </c>
      <c r="F1" s="3" t="s">
        <v>98</v>
      </c>
      <c r="G1" s="3" t="s">
        <v>2</v>
      </c>
      <c r="H1" s="3" t="s">
        <v>3</v>
      </c>
    </row>
    <row r="2" spans="1:8" x14ac:dyDescent="0.2">
      <c r="A2" s="10" t="s">
        <v>144</v>
      </c>
      <c r="B2" s="5" t="s">
        <v>143</v>
      </c>
      <c r="C2" s="5" t="s">
        <v>110</v>
      </c>
      <c r="D2" s="7" t="s">
        <v>142</v>
      </c>
      <c r="E2" s="5" t="s">
        <v>143</v>
      </c>
      <c r="F2" s="6" t="s">
        <v>100</v>
      </c>
      <c r="G2" s="5" t="s">
        <v>9</v>
      </c>
      <c r="H2" s="5" t="s">
        <v>4</v>
      </c>
    </row>
    <row r="3" spans="1:8" x14ac:dyDescent="0.2">
      <c r="A3" s="10" t="s">
        <v>140</v>
      </c>
      <c r="B3" s="5" t="s">
        <v>140</v>
      </c>
      <c r="C3" s="5" t="s">
        <v>110</v>
      </c>
      <c r="D3" s="7" t="s">
        <v>141</v>
      </c>
      <c r="E3" s="5" t="s">
        <v>145</v>
      </c>
      <c r="F3" s="6" t="s">
        <v>100</v>
      </c>
      <c r="G3" s="5" t="s">
        <v>9</v>
      </c>
      <c r="H3" s="5" t="s">
        <v>4</v>
      </c>
    </row>
    <row r="4" spans="1:8" x14ac:dyDescent="0.2">
      <c r="A4" s="10" t="s">
        <v>16</v>
      </c>
      <c r="B4" s="5" t="s">
        <v>16</v>
      </c>
      <c r="C4" s="5" t="s">
        <v>110</v>
      </c>
      <c r="D4" s="7" t="s">
        <v>124</v>
      </c>
      <c r="E4" s="5" t="s">
        <v>17</v>
      </c>
      <c r="F4" s="6" t="s">
        <v>100</v>
      </c>
      <c r="G4" s="5" t="s">
        <v>9</v>
      </c>
      <c r="H4" s="5" t="s">
        <v>4</v>
      </c>
    </row>
    <row r="5" spans="1:8" x14ac:dyDescent="0.2">
      <c r="A5" s="10" t="s">
        <v>10</v>
      </c>
      <c r="B5" s="5" t="s">
        <v>11</v>
      </c>
      <c r="C5" s="5" t="s">
        <v>110</v>
      </c>
      <c r="D5" s="7" t="s">
        <v>125</v>
      </c>
      <c r="E5" s="5" t="s">
        <v>12</v>
      </c>
      <c r="F5" s="6" t="s">
        <v>100</v>
      </c>
      <c r="G5" s="5" t="s">
        <v>9</v>
      </c>
      <c r="H5" s="5" t="s">
        <v>4</v>
      </c>
    </row>
    <row r="6" spans="1:8" x14ac:dyDescent="0.2">
      <c r="A6" s="10" t="s">
        <v>116</v>
      </c>
      <c r="B6" s="5" t="s">
        <v>117</v>
      </c>
      <c r="C6" s="5" t="s">
        <v>110</v>
      </c>
      <c r="D6" s="7" t="s">
        <v>125</v>
      </c>
      <c r="E6" s="5" t="s">
        <v>12</v>
      </c>
      <c r="F6" s="6" t="s">
        <v>100</v>
      </c>
      <c r="G6" s="5" t="s">
        <v>9</v>
      </c>
      <c r="H6" s="5" t="s">
        <v>4</v>
      </c>
    </row>
    <row r="7" spans="1:8" x14ac:dyDescent="0.2">
      <c r="A7" s="5" t="s">
        <v>20</v>
      </c>
      <c r="B7" s="5" t="s">
        <v>20</v>
      </c>
      <c r="C7" s="5" t="s">
        <v>110</v>
      </c>
      <c r="D7" s="8" t="s">
        <v>131</v>
      </c>
      <c r="E7" s="5" t="s">
        <v>21</v>
      </c>
      <c r="F7" s="6" t="s">
        <v>100</v>
      </c>
      <c r="G7" s="5" t="s">
        <v>18</v>
      </c>
      <c r="H7" s="5" t="s">
        <v>19</v>
      </c>
    </row>
    <row r="8" spans="1:8" x14ac:dyDescent="0.2">
      <c r="A8" s="5" t="s">
        <v>22</v>
      </c>
      <c r="B8" s="5" t="s">
        <v>22</v>
      </c>
      <c r="C8" s="5" t="s">
        <v>110</v>
      </c>
      <c r="D8" s="8" t="s">
        <v>131</v>
      </c>
      <c r="E8" s="5" t="s">
        <v>21</v>
      </c>
      <c r="F8" s="6" t="s">
        <v>100</v>
      </c>
      <c r="G8" s="5" t="s">
        <v>18</v>
      </c>
      <c r="H8" s="5" t="s">
        <v>19</v>
      </c>
    </row>
    <row r="9" spans="1:8" x14ac:dyDescent="0.2">
      <c r="A9" s="5" t="s">
        <v>23</v>
      </c>
      <c r="B9" s="5" t="s">
        <v>23</v>
      </c>
      <c r="C9" s="5" t="s">
        <v>110</v>
      </c>
      <c r="D9" s="8" t="s">
        <v>131</v>
      </c>
      <c r="E9" s="5" t="s">
        <v>21</v>
      </c>
      <c r="F9" s="6" t="s">
        <v>100</v>
      </c>
      <c r="G9" s="5" t="s">
        <v>18</v>
      </c>
      <c r="H9" s="5" t="s">
        <v>19</v>
      </c>
    </row>
    <row r="10" spans="1:8" x14ac:dyDescent="0.2">
      <c r="A10" s="5" t="s">
        <v>24</v>
      </c>
      <c r="B10" s="5" t="s">
        <v>24</v>
      </c>
      <c r="C10" s="5" t="s">
        <v>110</v>
      </c>
      <c r="D10" s="8" t="s">
        <v>131</v>
      </c>
      <c r="E10" s="5" t="s">
        <v>21</v>
      </c>
      <c r="F10" s="6" t="s">
        <v>100</v>
      </c>
      <c r="G10" s="5" t="s">
        <v>18</v>
      </c>
      <c r="H10" s="5" t="s">
        <v>19</v>
      </c>
    </row>
    <row r="11" spans="1:8" x14ac:dyDescent="0.2">
      <c r="A11" s="5" t="s">
        <v>123</v>
      </c>
      <c r="B11" s="5" t="s">
        <v>123</v>
      </c>
      <c r="C11" s="5" t="s">
        <v>110</v>
      </c>
      <c r="D11" s="8" t="s">
        <v>131</v>
      </c>
      <c r="E11" s="5" t="s">
        <v>21</v>
      </c>
      <c r="F11" s="6" t="s">
        <v>100</v>
      </c>
      <c r="G11" s="5" t="s">
        <v>18</v>
      </c>
      <c r="H11" s="5" t="s">
        <v>19</v>
      </c>
    </row>
    <row r="12" spans="1:8" x14ac:dyDescent="0.2">
      <c r="A12" s="5" t="s">
        <v>25</v>
      </c>
      <c r="B12" s="5" t="s">
        <v>25</v>
      </c>
      <c r="C12" s="5" t="s">
        <v>110</v>
      </c>
      <c r="D12" s="8" t="s">
        <v>131</v>
      </c>
      <c r="E12" s="5" t="s">
        <v>21</v>
      </c>
      <c r="F12" s="6" t="s">
        <v>100</v>
      </c>
      <c r="G12" s="5" t="s">
        <v>18</v>
      </c>
      <c r="H12" s="5" t="s">
        <v>19</v>
      </c>
    </row>
    <row r="13" spans="1:8" x14ac:dyDescent="0.2">
      <c r="A13" s="5" t="s">
        <v>26</v>
      </c>
      <c r="B13" s="5" t="s">
        <v>26</v>
      </c>
      <c r="C13" s="5" t="s">
        <v>110</v>
      </c>
      <c r="D13" s="8" t="s">
        <v>131</v>
      </c>
      <c r="E13" s="5" t="s">
        <v>21</v>
      </c>
      <c r="F13" s="6" t="s">
        <v>100</v>
      </c>
      <c r="G13" s="5" t="s">
        <v>18</v>
      </c>
      <c r="H13" s="5" t="s">
        <v>19</v>
      </c>
    </row>
    <row r="14" spans="1:8" x14ac:dyDescent="0.2">
      <c r="A14" s="5" t="s">
        <v>14</v>
      </c>
      <c r="B14" s="5" t="s">
        <v>14</v>
      </c>
      <c r="C14" s="5" t="s">
        <v>110</v>
      </c>
      <c r="D14" s="8" t="s">
        <v>130</v>
      </c>
      <c r="E14" s="5" t="s">
        <v>13</v>
      </c>
      <c r="F14" s="6" t="s">
        <v>100</v>
      </c>
      <c r="G14" s="5" t="s">
        <v>18</v>
      </c>
      <c r="H14" s="5" t="s">
        <v>4</v>
      </c>
    </row>
    <row r="15" spans="1:8" x14ac:dyDescent="0.2">
      <c r="A15" s="5" t="s">
        <v>15</v>
      </c>
      <c r="B15" s="5" t="s">
        <v>15</v>
      </c>
      <c r="C15" s="5" t="s">
        <v>110</v>
      </c>
      <c r="D15" s="8" t="s">
        <v>130</v>
      </c>
      <c r="E15" s="5" t="s">
        <v>13</v>
      </c>
      <c r="F15" s="6" t="s">
        <v>100</v>
      </c>
      <c r="G15" s="5" t="s">
        <v>18</v>
      </c>
      <c r="H15" s="5" t="s">
        <v>4</v>
      </c>
    </row>
    <row r="16" spans="1:8" x14ac:dyDescent="0.2">
      <c r="A16" s="5" t="s">
        <v>31</v>
      </c>
      <c r="B16" s="5" t="s">
        <v>31</v>
      </c>
      <c r="C16" s="5" t="s">
        <v>110</v>
      </c>
      <c r="D16" s="8" t="s">
        <v>127</v>
      </c>
      <c r="E16" s="5" t="s">
        <v>32</v>
      </c>
      <c r="F16" s="6" t="s">
        <v>100</v>
      </c>
      <c r="G16" s="5" t="s">
        <v>18</v>
      </c>
      <c r="H16" s="5" t="s">
        <v>4</v>
      </c>
    </row>
    <row r="17" spans="1:8" x14ac:dyDescent="0.2">
      <c r="A17" s="5" t="s">
        <v>33</v>
      </c>
      <c r="B17" s="5" t="s">
        <v>33</v>
      </c>
      <c r="C17" s="5" t="s">
        <v>110</v>
      </c>
      <c r="D17" s="8" t="s">
        <v>128</v>
      </c>
      <c r="E17" s="5" t="s">
        <v>34</v>
      </c>
      <c r="F17" s="6" t="s">
        <v>100</v>
      </c>
      <c r="G17" s="5" t="s">
        <v>18</v>
      </c>
      <c r="H17" s="5" t="s">
        <v>4</v>
      </c>
    </row>
    <row r="18" spans="1:8" x14ac:dyDescent="0.2">
      <c r="A18" s="5" t="s">
        <v>35</v>
      </c>
      <c r="B18" s="5" t="s">
        <v>35</v>
      </c>
      <c r="C18" s="5" t="s">
        <v>110</v>
      </c>
      <c r="D18" s="8" t="s">
        <v>128</v>
      </c>
      <c r="E18" s="5" t="s">
        <v>34</v>
      </c>
      <c r="F18" s="6" t="s">
        <v>100</v>
      </c>
      <c r="G18" s="5" t="s">
        <v>18</v>
      </c>
      <c r="H18" s="5" t="s">
        <v>4</v>
      </c>
    </row>
    <row r="19" spans="1:8" x14ac:dyDescent="0.2">
      <c r="A19" s="5" t="s">
        <v>36</v>
      </c>
      <c r="B19" s="5" t="s">
        <v>36</v>
      </c>
      <c r="C19" s="5" t="s">
        <v>110</v>
      </c>
      <c r="D19" s="8" t="s">
        <v>129</v>
      </c>
      <c r="E19" s="5" t="s">
        <v>37</v>
      </c>
      <c r="F19" s="6" t="s">
        <v>100</v>
      </c>
      <c r="G19" s="5" t="s">
        <v>18</v>
      </c>
      <c r="H19" s="5" t="s">
        <v>4</v>
      </c>
    </row>
    <row r="20" spans="1:8" x14ac:dyDescent="0.2">
      <c r="A20" s="5" t="s">
        <v>29</v>
      </c>
      <c r="B20" s="5" t="s">
        <v>29</v>
      </c>
      <c r="C20" s="5" t="s">
        <v>110</v>
      </c>
      <c r="D20" s="8" t="s">
        <v>126</v>
      </c>
      <c r="E20" s="5" t="s">
        <v>30</v>
      </c>
      <c r="F20" s="5" t="s">
        <v>100</v>
      </c>
      <c r="G20" s="5" t="s">
        <v>18</v>
      </c>
      <c r="H20" s="5" t="s">
        <v>4</v>
      </c>
    </row>
    <row r="21" spans="1:8" x14ac:dyDescent="0.2">
      <c r="A21" s="5" t="s">
        <v>120</v>
      </c>
      <c r="B21" s="5" t="s">
        <v>120</v>
      </c>
      <c r="C21" s="5" t="s">
        <v>110</v>
      </c>
      <c r="D21" s="8" t="s">
        <v>118</v>
      </c>
      <c r="E21" s="5" t="s">
        <v>119</v>
      </c>
      <c r="F21" s="6" t="s">
        <v>100</v>
      </c>
      <c r="G21" s="5" t="s">
        <v>18</v>
      </c>
      <c r="H21" s="5" t="s">
        <v>4</v>
      </c>
    </row>
    <row r="22" spans="1:8" x14ac:dyDescent="0.2">
      <c r="A22" s="5" t="s">
        <v>58</v>
      </c>
      <c r="B22" s="5" t="s">
        <v>58</v>
      </c>
      <c r="C22" s="5" t="s">
        <v>111</v>
      </c>
      <c r="D22" s="5" t="s">
        <v>132</v>
      </c>
      <c r="E22" s="5" t="s">
        <v>59</v>
      </c>
      <c r="F22" s="6" t="s">
        <v>100</v>
      </c>
      <c r="G22" s="5" t="s">
        <v>41</v>
      </c>
      <c r="H22" s="5" t="s">
        <v>4</v>
      </c>
    </row>
    <row r="23" spans="1:8" x14ac:dyDescent="0.2">
      <c r="A23" s="5" t="s">
        <v>64</v>
      </c>
      <c r="B23" s="5" t="s">
        <v>65</v>
      </c>
      <c r="C23" s="5" t="s">
        <v>111</v>
      </c>
      <c r="D23" s="5" t="s">
        <v>133</v>
      </c>
      <c r="E23" s="5" t="s">
        <v>104</v>
      </c>
      <c r="F23" s="6" t="s">
        <v>100</v>
      </c>
      <c r="G23" s="5" t="s">
        <v>41</v>
      </c>
      <c r="H23" s="5" t="s">
        <v>4</v>
      </c>
    </row>
    <row r="24" spans="1:8" x14ac:dyDescent="0.2">
      <c r="A24" s="5" t="s">
        <v>63</v>
      </c>
      <c r="B24" s="5" t="s">
        <v>63</v>
      </c>
      <c r="C24" s="5" t="s">
        <v>111</v>
      </c>
      <c r="D24" s="5" t="s">
        <v>133</v>
      </c>
      <c r="E24" s="5" t="s">
        <v>104</v>
      </c>
      <c r="F24" s="6" t="s">
        <v>100</v>
      </c>
      <c r="G24" s="5" t="s">
        <v>41</v>
      </c>
      <c r="H24" s="5" t="s">
        <v>4</v>
      </c>
    </row>
    <row r="25" spans="1:8" x14ac:dyDescent="0.2">
      <c r="A25" s="5" t="s">
        <v>66</v>
      </c>
      <c r="B25" s="5" t="s">
        <v>67</v>
      </c>
      <c r="C25" s="5" t="s">
        <v>111</v>
      </c>
      <c r="D25" s="5" t="s">
        <v>133</v>
      </c>
      <c r="E25" s="5" t="s">
        <v>104</v>
      </c>
      <c r="F25" s="6" t="s">
        <v>100</v>
      </c>
      <c r="G25" s="5" t="s">
        <v>41</v>
      </c>
      <c r="H25" s="5" t="s">
        <v>4</v>
      </c>
    </row>
    <row r="26" spans="1:8" x14ac:dyDescent="0.2">
      <c r="A26" s="5" t="s">
        <v>68</v>
      </c>
      <c r="B26" s="5" t="s">
        <v>69</v>
      </c>
      <c r="C26" s="5" t="s">
        <v>111</v>
      </c>
      <c r="D26" s="5" t="s">
        <v>133</v>
      </c>
      <c r="E26" s="5" t="s">
        <v>104</v>
      </c>
      <c r="F26" s="6" t="s">
        <v>100</v>
      </c>
      <c r="G26" s="5" t="s">
        <v>41</v>
      </c>
      <c r="H26" s="5" t="s">
        <v>4</v>
      </c>
    </row>
    <row r="27" spans="1:8" x14ac:dyDescent="0.2">
      <c r="A27" s="10" t="s">
        <v>121</v>
      </c>
      <c r="B27" s="10" t="s">
        <v>121</v>
      </c>
      <c r="C27" s="5" t="s">
        <v>111</v>
      </c>
      <c r="D27" s="9" t="s">
        <v>136</v>
      </c>
      <c r="E27" s="5" t="s">
        <v>122</v>
      </c>
      <c r="F27" s="6" t="s">
        <v>100</v>
      </c>
      <c r="G27" s="5" t="s">
        <v>41</v>
      </c>
      <c r="H27" s="5" t="s">
        <v>4</v>
      </c>
    </row>
    <row r="28" spans="1:8" x14ac:dyDescent="0.2">
      <c r="A28" s="10" t="s">
        <v>137</v>
      </c>
      <c r="B28" s="10" t="s">
        <v>137</v>
      </c>
      <c r="C28" s="5" t="s">
        <v>111</v>
      </c>
      <c r="D28" s="9" t="s">
        <v>138</v>
      </c>
      <c r="E28" s="5" t="s">
        <v>139</v>
      </c>
      <c r="F28" s="6" t="s">
        <v>100</v>
      </c>
      <c r="G28" s="5" t="s">
        <v>41</v>
      </c>
      <c r="H28" s="5" t="s">
        <v>4</v>
      </c>
    </row>
    <row r="29" spans="1:8" x14ac:dyDescent="0.2">
      <c r="A29" s="5" t="s">
        <v>62</v>
      </c>
      <c r="B29" s="5" t="s">
        <v>62</v>
      </c>
      <c r="C29" s="5" t="s">
        <v>111</v>
      </c>
      <c r="D29" s="5" t="s">
        <v>134</v>
      </c>
      <c r="E29" s="5" t="s">
        <v>105</v>
      </c>
      <c r="F29" s="6" t="s">
        <v>100</v>
      </c>
      <c r="G29" s="5" t="s">
        <v>41</v>
      </c>
      <c r="H29" s="5" t="s">
        <v>4</v>
      </c>
    </row>
    <row r="30" spans="1:8" x14ac:dyDescent="0.2">
      <c r="A30" s="5" t="s">
        <v>70</v>
      </c>
      <c r="B30" s="5" t="s">
        <v>70</v>
      </c>
      <c r="C30" s="5" t="s">
        <v>111</v>
      </c>
      <c r="D30" s="5" t="s">
        <v>135</v>
      </c>
      <c r="E30" s="5" t="s">
        <v>71</v>
      </c>
      <c r="F30" s="6" t="s">
        <v>100</v>
      </c>
      <c r="G30" s="5" t="s">
        <v>41</v>
      </c>
      <c r="H30" s="5" t="s">
        <v>4</v>
      </c>
    </row>
    <row r="31" spans="1:8" x14ac:dyDescent="0.2">
      <c r="A31" s="5" t="s">
        <v>44</v>
      </c>
      <c r="B31" s="5" t="s">
        <v>44</v>
      </c>
      <c r="C31" s="5" t="s">
        <v>111</v>
      </c>
      <c r="D31" s="5" t="s">
        <v>113</v>
      </c>
      <c r="E31" s="5" t="s">
        <v>45</v>
      </c>
      <c r="F31" s="6" t="s">
        <v>100</v>
      </c>
      <c r="G31" s="5" t="s">
        <v>41</v>
      </c>
      <c r="H31" s="5" t="s">
        <v>4</v>
      </c>
    </row>
    <row r="32" spans="1:8" x14ac:dyDescent="0.2">
      <c r="A32" s="5" t="s">
        <v>46</v>
      </c>
      <c r="B32" s="5" t="s">
        <v>46</v>
      </c>
      <c r="C32" s="5" t="s">
        <v>111</v>
      </c>
      <c r="D32" s="5" t="s">
        <v>113</v>
      </c>
      <c r="E32" s="5" t="s">
        <v>45</v>
      </c>
      <c r="F32" s="6" t="s">
        <v>100</v>
      </c>
      <c r="G32" s="5" t="s">
        <v>41</v>
      </c>
      <c r="H32" s="5" t="s">
        <v>4</v>
      </c>
    </row>
    <row r="33" spans="1:8" x14ac:dyDescent="0.2">
      <c r="A33" s="5" t="s">
        <v>47</v>
      </c>
      <c r="B33" s="5" t="s">
        <v>47</v>
      </c>
      <c r="C33" s="5" t="s">
        <v>111</v>
      </c>
      <c r="D33" s="5" t="s">
        <v>113</v>
      </c>
      <c r="E33" s="5" t="s">
        <v>45</v>
      </c>
      <c r="F33" s="6" t="s">
        <v>100</v>
      </c>
      <c r="G33" s="5" t="s">
        <v>41</v>
      </c>
      <c r="H33" s="5" t="s">
        <v>4</v>
      </c>
    </row>
    <row r="34" spans="1:8" x14ac:dyDescent="0.2">
      <c r="A34" s="5" t="s">
        <v>48</v>
      </c>
      <c r="B34" s="5" t="s">
        <v>48</v>
      </c>
      <c r="C34" s="5" t="s">
        <v>111</v>
      </c>
      <c r="D34" s="5" t="s">
        <v>113</v>
      </c>
      <c r="E34" s="5" t="s">
        <v>45</v>
      </c>
      <c r="F34" s="6" t="s">
        <v>100</v>
      </c>
      <c r="G34" s="5" t="s">
        <v>41</v>
      </c>
      <c r="H34" s="5" t="s">
        <v>4</v>
      </c>
    </row>
    <row r="35" spans="1:8" x14ac:dyDescent="0.2">
      <c r="A35" s="5" t="s">
        <v>49</v>
      </c>
      <c r="B35" s="5" t="s">
        <v>49</v>
      </c>
      <c r="C35" s="5" t="s">
        <v>111</v>
      </c>
      <c r="D35" s="5" t="s">
        <v>113</v>
      </c>
      <c r="E35" s="5" t="s">
        <v>45</v>
      </c>
      <c r="F35" s="6" t="s">
        <v>100</v>
      </c>
      <c r="G35" s="5" t="s">
        <v>41</v>
      </c>
      <c r="H35" s="5" t="s">
        <v>4</v>
      </c>
    </row>
    <row r="36" spans="1:8" x14ac:dyDescent="0.2">
      <c r="A36" s="5" t="s">
        <v>50</v>
      </c>
      <c r="B36" s="5" t="s">
        <v>50</v>
      </c>
      <c r="C36" s="5" t="s">
        <v>111</v>
      </c>
      <c r="D36" s="5" t="s">
        <v>113</v>
      </c>
      <c r="E36" s="5" t="s">
        <v>45</v>
      </c>
      <c r="F36" s="6" t="s">
        <v>100</v>
      </c>
      <c r="G36" s="5" t="s">
        <v>41</v>
      </c>
      <c r="H36" s="5" t="s">
        <v>4</v>
      </c>
    </row>
    <row r="37" spans="1:8" x14ac:dyDescent="0.2">
      <c r="A37" s="5" t="s">
        <v>51</v>
      </c>
      <c r="B37" s="5" t="s">
        <v>51</v>
      </c>
      <c r="C37" s="5" t="s">
        <v>111</v>
      </c>
      <c r="D37" s="5" t="s">
        <v>113</v>
      </c>
      <c r="E37" s="5" t="s">
        <v>45</v>
      </c>
      <c r="F37" s="6" t="s">
        <v>100</v>
      </c>
      <c r="G37" s="5" t="s">
        <v>41</v>
      </c>
      <c r="H37" s="5" t="s">
        <v>4</v>
      </c>
    </row>
    <row r="38" spans="1:8" x14ac:dyDescent="0.2">
      <c r="A38" s="5" t="s">
        <v>52</v>
      </c>
      <c r="B38" s="5" t="s">
        <v>52</v>
      </c>
      <c r="C38" s="5" t="s">
        <v>111</v>
      </c>
      <c r="D38" s="5" t="s">
        <v>113</v>
      </c>
      <c r="E38" s="5" t="s">
        <v>45</v>
      </c>
      <c r="F38" s="6" t="s">
        <v>100</v>
      </c>
      <c r="G38" s="5" t="s">
        <v>41</v>
      </c>
      <c r="H38" s="5" t="s">
        <v>4</v>
      </c>
    </row>
    <row r="39" spans="1:8" x14ac:dyDescent="0.2">
      <c r="A39" s="5" t="s">
        <v>53</v>
      </c>
      <c r="B39" s="5" t="s">
        <v>53</v>
      </c>
      <c r="C39" s="5" t="s">
        <v>111</v>
      </c>
      <c r="D39" s="5" t="s">
        <v>113</v>
      </c>
      <c r="E39" s="5" t="s">
        <v>45</v>
      </c>
      <c r="F39" s="6" t="s">
        <v>100</v>
      </c>
      <c r="G39" s="5" t="s">
        <v>41</v>
      </c>
      <c r="H39" s="5" t="s">
        <v>4</v>
      </c>
    </row>
    <row r="40" spans="1:8" x14ac:dyDescent="0.2">
      <c r="A40" s="5" t="s">
        <v>54</v>
      </c>
      <c r="B40" s="5" t="s">
        <v>54</v>
      </c>
      <c r="C40" s="5" t="s">
        <v>111</v>
      </c>
      <c r="D40" s="5" t="s">
        <v>113</v>
      </c>
      <c r="E40" s="5" t="s">
        <v>45</v>
      </c>
      <c r="F40" s="6" t="s">
        <v>100</v>
      </c>
      <c r="G40" s="5" t="s">
        <v>41</v>
      </c>
      <c r="H40" s="5" t="s">
        <v>4</v>
      </c>
    </row>
    <row r="41" spans="1:8" x14ac:dyDescent="0.2">
      <c r="A41" s="5" t="s">
        <v>55</v>
      </c>
      <c r="B41" s="5" t="s">
        <v>55</v>
      </c>
      <c r="C41" s="5" t="s">
        <v>111</v>
      </c>
      <c r="D41" s="5" t="s">
        <v>113</v>
      </c>
      <c r="E41" s="5" t="s">
        <v>45</v>
      </c>
      <c r="F41" s="6" t="s">
        <v>100</v>
      </c>
      <c r="G41" s="5" t="s">
        <v>41</v>
      </c>
      <c r="H41" s="5" t="s">
        <v>4</v>
      </c>
    </row>
    <row r="42" spans="1:8" x14ac:dyDescent="0.2">
      <c r="A42" s="5" t="s">
        <v>56</v>
      </c>
      <c r="B42" s="5" t="s">
        <v>56</v>
      </c>
      <c r="C42" s="5" t="s">
        <v>111</v>
      </c>
      <c r="D42" s="5" t="s">
        <v>113</v>
      </c>
      <c r="E42" s="5" t="s">
        <v>45</v>
      </c>
      <c r="F42" s="6" t="s">
        <v>100</v>
      </c>
      <c r="G42" s="5" t="s">
        <v>41</v>
      </c>
      <c r="H42" s="5" t="s">
        <v>4</v>
      </c>
    </row>
    <row r="43" spans="1:8" x14ac:dyDescent="0.2">
      <c r="A43" s="5" t="s">
        <v>57</v>
      </c>
      <c r="B43" s="5" t="s">
        <v>57</v>
      </c>
      <c r="C43" s="5" t="s">
        <v>111</v>
      </c>
      <c r="D43" s="5" t="s">
        <v>113</v>
      </c>
      <c r="E43" s="5" t="s">
        <v>45</v>
      </c>
      <c r="F43" s="6" t="s">
        <v>100</v>
      </c>
      <c r="G43" s="5" t="s">
        <v>41</v>
      </c>
      <c r="H43" s="5" t="s">
        <v>4</v>
      </c>
    </row>
    <row r="44" spans="1:8" x14ac:dyDescent="0.2">
      <c r="A44" s="5" t="s">
        <v>74</v>
      </c>
      <c r="B44" s="5" t="s">
        <v>74</v>
      </c>
      <c r="C44" s="5" t="s">
        <v>111</v>
      </c>
      <c r="D44" s="5" t="s">
        <v>114</v>
      </c>
      <c r="E44" s="5" t="s">
        <v>75</v>
      </c>
      <c r="F44" s="6" t="s">
        <v>100</v>
      </c>
      <c r="G44" s="5" t="s">
        <v>41</v>
      </c>
      <c r="H44" s="5" t="s">
        <v>4</v>
      </c>
    </row>
    <row r="45" spans="1:8" x14ac:dyDescent="0.2">
      <c r="A45" s="5" t="s">
        <v>76</v>
      </c>
      <c r="B45" s="5" t="s">
        <v>76</v>
      </c>
      <c r="C45" s="5" t="s">
        <v>111</v>
      </c>
      <c r="D45" s="5" t="s">
        <v>114</v>
      </c>
      <c r="E45" s="5" t="s">
        <v>75</v>
      </c>
      <c r="F45" s="6" t="s">
        <v>100</v>
      </c>
      <c r="G45" s="5" t="s">
        <v>41</v>
      </c>
      <c r="H45" s="5" t="s">
        <v>4</v>
      </c>
    </row>
    <row r="46" spans="1:8" x14ac:dyDescent="0.2">
      <c r="A46" s="5" t="s">
        <v>77</v>
      </c>
      <c r="B46" s="5" t="s">
        <v>77</v>
      </c>
      <c r="C46" s="5" t="s">
        <v>111</v>
      </c>
      <c r="D46" s="5" t="s">
        <v>114</v>
      </c>
      <c r="E46" s="5" t="s">
        <v>75</v>
      </c>
      <c r="F46" s="6" t="s">
        <v>100</v>
      </c>
      <c r="G46" s="5" t="s">
        <v>41</v>
      </c>
      <c r="H46" s="5" t="s">
        <v>4</v>
      </c>
    </row>
    <row r="47" spans="1:8" x14ac:dyDescent="0.2">
      <c r="A47" s="5" t="s">
        <v>78</v>
      </c>
      <c r="B47" s="5" t="s">
        <v>78</v>
      </c>
      <c r="C47" s="5" t="s">
        <v>111</v>
      </c>
      <c r="D47" s="5" t="s">
        <v>115</v>
      </c>
      <c r="E47" s="5" t="s">
        <v>79</v>
      </c>
      <c r="F47" s="6" t="s">
        <v>100</v>
      </c>
      <c r="G47" s="5" t="s">
        <v>41</v>
      </c>
      <c r="H47" s="5" t="s">
        <v>4</v>
      </c>
    </row>
  </sheetData>
  <sortState xmlns:xlrd2="http://schemas.microsoft.com/office/spreadsheetml/2017/richdata2" ref="A4:H47">
    <sortCondition ref="C4:C47"/>
    <sortCondition ref="G4:G47"/>
    <sortCondition ref="H4:H47"/>
    <sortCondition ref="D4:D47"/>
  </sortState>
  <phoneticPr fontId="1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7E8D0-101B-584C-9021-A7CDF92F27AF}">
  <dimension ref="A1:I27"/>
  <sheetViews>
    <sheetView workbookViewId="0">
      <selection activeCell="I16" sqref="I16"/>
    </sheetView>
  </sheetViews>
  <sheetFormatPr baseColWidth="10" defaultRowHeight="16" x14ac:dyDescent="0.2"/>
  <sheetData>
    <row r="1" spans="1:9" x14ac:dyDescent="0.2">
      <c r="A1" s="3" t="s">
        <v>0</v>
      </c>
      <c r="B1" s="3" t="s">
        <v>1</v>
      </c>
      <c r="C1" s="3" t="s">
        <v>94</v>
      </c>
      <c r="D1" s="3" t="s">
        <v>101</v>
      </c>
      <c r="E1" s="3" t="s">
        <v>102</v>
      </c>
      <c r="F1" s="3" t="s">
        <v>98</v>
      </c>
      <c r="G1" s="3" t="s">
        <v>2</v>
      </c>
      <c r="H1" s="3" t="s">
        <v>3</v>
      </c>
      <c r="I1" s="3" t="s">
        <v>93</v>
      </c>
    </row>
    <row r="2" spans="1:9" x14ac:dyDescent="0.2">
      <c r="A2" t="s">
        <v>80</v>
      </c>
      <c r="B2" t="s">
        <v>80</v>
      </c>
      <c r="C2" t="s">
        <v>95</v>
      </c>
      <c r="D2" t="s">
        <v>4</v>
      </c>
      <c r="E2" t="s">
        <v>4</v>
      </c>
      <c r="F2" t="s">
        <v>4</v>
      </c>
      <c r="G2" t="s">
        <v>4</v>
      </c>
      <c r="H2" t="s">
        <v>4</v>
      </c>
      <c r="I2" t="str">
        <f t="shared" ref="I2:I15" si="0">IF(A2&lt;&gt;B2,"FLAG","")</f>
        <v/>
      </c>
    </row>
    <row r="3" spans="1:9" x14ac:dyDescent="0.2">
      <c r="A3" t="s">
        <v>91</v>
      </c>
      <c r="B3" t="s">
        <v>91</v>
      </c>
      <c r="C3" t="s">
        <v>95</v>
      </c>
      <c r="D3" t="s">
        <v>4</v>
      </c>
      <c r="E3" t="s">
        <v>4</v>
      </c>
      <c r="F3" t="s">
        <v>4</v>
      </c>
      <c r="G3" t="s">
        <v>4</v>
      </c>
      <c r="H3" t="s">
        <v>4</v>
      </c>
      <c r="I3" t="str">
        <f t="shared" si="0"/>
        <v/>
      </c>
    </row>
    <row r="4" spans="1:9" x14ac:dyDescent="0.2">
      <c r="A4" t="s">
        <v>81</v>
      </c>
      <c r="B4" t="s">
        <v>81</v>
      </c>
      <c r="C4" t="s">
        <v>95</v>
      </c>
      <c r="D4" t="s">
        <v>4</v>
      </c>
      <c r="E4" t="s">
        <v>4</v>
      </c>
      <c r="F4" t="s">
        <v>4</v>
      </c>
      <c r="G4" t="s">
        <v>4</v>
      </c>
      <c r="H4" t="s">
        <v>4</v>
      </c>
      <c r="I4" t="str">
        <f t="shared" si="0"/>
        <v/>
      </c>
    </row>
    <row r="5" spans="1:9" x14ac:dyDescent="0.2">
      <c r="A5" t="s">
        <v>82</v>
      </c>
      <c r="B5" t="s">
        <v>82</v>
      </c>
      <c r="C5" t="s">
        <v>95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tr">
        <f t="shared" si="0"/>
        <v/>
      </c>
    </row>
    <row r="6" spans="1:9" x14ac:dyDescent="0.2">
      <c r="A6" t="s">
        <v>83</v>
      </c>
      <c r="B6" t="s">
        <v>83</v>
      </c>
      <c r="C6" t="s">
        <v>95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tr">
        <f t="shared" si="0"/>
        <v/>
      </c>
    </row>
    <row r="7" spans="1:9" x14ac:dyDescent="0.2">
      <c r="A7" t="s">
        <v>84</v>
      </c>
      <c r="B7" t="s">
        <v>84</v>
      </c>
      <c r="C7" t="s">
        <v>95</v>
      </c>
      <c r="D7" t="s">
        <v>4</v>
      </c>
      <c r="E7" t="s">
        <v>4</v>
      </c>
      <c r="F7" t="s">
        <v>4</v>
      </c>
      <c r="G7" t="s">
        <v>4</v>
      </c>
      <c r="H7" t="s">
        <v>4</v>
      </c>
      <c r="I7" t="str">
        <f t="shared" si="0"/>
        <v/>
      </c>
    </row>
    <row r="8" spans="1:9" x14ac:dyDescent="0.2">
      <c r="A8" t="s">
        <v>85</v>
      </c>
      <c r="B8" t="s">
        <v>85</v>
      </c>
      <c r="C8" t="s">
        <v>95</v>
      </c>
      <c r="D8" t="s">
        <v>4</v>
      </c>
      <c r="E8" t="s">
        <v>4</v>
      </c>
      <c r="F8" t="s">
        <v>4</v>
      </c>
      <c r="G8" t="s">
        <v>4</v>
      </c>
      <c r="H8" t="s">
        <v>4</v>
      </c>
      <c r="I8" t="str">
        <f t="shared" si="0"/>
        <v/>
      </c>
    </row>
    <row r="9" spans="1:9" x14ac:dyDescent="0.2">
      <c r="A9" t="s">
        <v>86</v>
      </c>
      <c r="B9" t="s">
        <v>86</v>
      </c>
      <c r="C9" t="s">
        <v>95</v>
      </c>
      <c r="D9" t="s">
        <v>4</v>
      </c>
      <c r="E9" t="s">
        <v>4</v>
      </c>
      <c r="F9" t="s">
        <v>4</v>
      </c>
      <c r="G9" t="s">
        <v>4</v>
      </c>
      <c r="H9" t="s">
        <v>4</v>
      </c>
      <c r="I9" t="str">
        <f t="shared" si="0"/>
        <v/>
      </c>
    </row>
    <row r="10" spans="1:9" x14ac:dyDescent="0.2">
      <c r="A10" t="s">
        <v>87</v>
      </c>
      <c r="B10" t="s">
        <v>87</v>
      </c>
      <c r="C10" t="s">
        <v>95</v>
      </c>
      <c r="D10" t="s">
        <v>4</v>
      </c>
      <c r="E10" t="s">
        <v>4</v>
      </c>
      <c r="F10" t="s">
        <v>4</v>
      </c>
      <c r="G10" t="s">
        <v>4</v>
      </c>
      <c r="H10" t="s">
        <v>4</v>
      </c>
      <c r="I10" t="str">
        <f t="shared" si="0"/>
        <v/>
      </c>
    </row>
    <row r="11" spans="1:9" x14ac:dyDescent="0.2">
      <c r="A11" t="s">
        <v>88</v>
      </c>
      <c r="B11" t="s">
        <v>88</v>
      </c>
      <c r="C11" t="s">
        <v>95</v>
      </c>
      <c r="D11" t="s">
        <v>4</v>
      </c>
      <c r="E11" t="s">
        <v>4</v>
      </c>
      <c r="F11" t="s">
        <v>4</v>
      </c>
      <c r="G11" t="s">
        <v>4</v>
      </c>
      <c r="H11" t="s">
        <v>4</v>
      </c>
      <c r="I11" t="str">
        <f t="shared" si="0"/>
        <v/>
      </c>
    </row>
    <row r="12" spans="1:9" x14ac:dyDescent="0.2">
      <c r="A12" t="s">
        <v>92</v>
      </c>
      <c r="B12" t="s">
        <v>92</v>
      </c>
      <c r="C12" t="s">
        <v>95</v>
      </c>
      <c r="D12" t="s">
        <v>4</v>
      </c>
      <c r="E12" t="s">
        <v>4</v>
      </c>
      <c r="F12" t="s">
        <v>4</v>
      </c>
      <c r="G12" t="s">
        <v>4</v>
      </c>
      <c r="H12" t="s">
        <v>4</v>
      </c>
      <c r="I12" t="str">
        <f t="shared" si="0"/>
        <v/>
      </c>
    </row>
    <row r="13" spans="1:9" x14ac:dyDescent="0.2">
      <c r="A13" t="s">
        <v>89</v>
      </c>
      <c r="B13" t="s">
        <v>89</v>
      </c>
      <c r="C13" t="s">
        <v>95</v>
      </c>
      <c r="D13" t="s">
        <v>4</v>
      </c>
      <c r="E13" t="s">
        <v>4</v>
      </c>
      <c r="F13" t="s">
        <v>4</v>
      </c>
      <c r="G13" t="s">
        <v>4</v>
      </c>
      <c r="H13" t="s">
        <v>4</v>
      </c>
      <c r="I13" t="str">
        <f t="shared" si="0"/>
        <v/>
      </c>
    </row>
    <row r="14" spans="1:9" x14ac:dyDescent="0.2">
      <c r="A14" t="s">
        <v>90</v>
      </c>
      <c r="B14" t="s">
        <v>90</v>
      </c>
      <c r="C14" t="s">
        <v>95</v>
      </c>
      <c r="D14" t="s">
        <v>4</v>
      </c>
      <c r="E14" t="s">
        <v>4</v>
      </c>
      <c r="F14" t="s">
        <v>4</v>
      </c>
      <c r="G14" t="s">
        <v>4</v>
      </c>
      <c r="H14" t="s">
        <v>4</v>
      </c>
      <c r="I14" t="str">
        <f t="shared" si="0"/>
        <v/>
      </c>
    </row>
    <row r="15" spans="1:9" x14ac:dyDescent="0.2">
      <c r="A15" s="1" t="s">
        <v>39</v>
      </c>
      <c r="B15" t="s">
        <v>39</v>
      </c>
      <c r="C15" t="s">
        <v>95</v>
      </c>
      <c r="D15" t="s">
        <v>4</v>
      </c>
      <c r="E15" t="s">
        <v>4</v>
      </c>
      <c r="F15" t="s">
        <v>4</v>
      </c>
      <c r="G15" t="s">
        <v>4</v>
      </c>
      <c r="H15" t="s">
        <v>4</v>
      </c>
      <c r="I15" t="str">
        <f t="shared" si="0"/>
        <v/>
      </c>
    </row>
    <row r="16" spans="1:9" x14ac:dyDescent="0.2">
      <c r="A16" t="s">
        <v>91</v>
      </c>
      <c r="B16" t="s">
        <v>91</v>
      </c>
      <c r="C16" t="s">
        <v>95</v>
      </c>
      <c r="D16" t="s">
        <v>4</v>
      </c>
      <c r="E16" t="s">
        <v>4</v>
      </c>
      <c r="F16" t="s">
        <v>4</v>
      </c>
      <c r="G16" t="s">
        <v>4</v>
      </c>
      <c r="H16" t="s">
        <v>4</v>
      </c>
    </row>
    <row r="17" spans="1:9" x14ac:dyDescent="0.2">
      <c r="A17" t="s">
        <v>92</v>
      </c>
      <c r="B17" t="s">
        <v>92</v>
      </c>
      <c r="C17" t="s">
        <v>95</v>
      </c>
      <c r="D17" t="s">
        <v>4</v>
      </c>
      <c r="E17" t="s">
        <v>4</v>
      </c>
      <c r="F17" t="s">
        <v>4</v>
      </c>
      <c r="G17" t="s">
        <v>4</v>
      </c>
      <c r="H17" t="s">
        <v>4</v>
      </c>
    </row>
    <row r="18" spans="1:9" x14ac:dyDescent="0.2">
      <c r="A18" t="s">
        <v>5</v>
      </c>
      <c r="B18" t="s">
        <v>5</v>
      </c>
      <c r="C18" t="s">
        <v>95</v>
      </c>
      <c r="D18" t="s">
        <v>4</v>
      </c>
      <c r="E18" t="s">
        <v>4</v>
      </c>
      <c r="F18" t="s">
        <v>4</v>
      </c>
      <c r="G18" t="s">
        <v>4</v>
      </c>
      <c r="H18" t="s">
        <v>4</v>
      </c>
      <c r="I18" t="str">
        <f>IF(A18&lt;&gt;B18,"FLAG","")</f>
        <v/>
      </c>
    </row>
    <row r="19" spans="1:9" x14ac:dyDescent="0.2">
      <c r="A19" t="s">
        <v>38</v>
      </c>
      <c r="B19" t="s">
        <v>38</v>
      </c>
      <c r="C19" t="s">
        <v>95</v>
      </c>
      <c r="D19" t="s">
        <v>4</v>
      </c>
      <c r="E19" t="s">
        <v>4</v>
      </c>
      <c r="F19" t="s">
        <v>4</v>
      </c>
      <c r="G19" t="s">
        <v>4</v>
      </c>
      <c r="H19" t="s">
        <v>4</v>
      </c>
      <c r="I19" t="str">
        <f>IF(A19&lt;&gt;B19,"FLAG","")</f>
        <v/>
      </c>
    </row>
    <row r="20" spans="1:9" x14ac:dyDescent="0.2">
      <c r="A20" t="s">
        <v>27</v>
      </c>
      <c r="B20" t="s">
        <v>27</v>
      </c>
      <c r="C20" t="s">
        <v>95</v>
      </c>
      <c r="D20" t="s">
        <v>4</v>
      </c>
      <c r="E20" t="s">
        <v>4</v>
      </c>
      <c r="F20" t="s">
        <v>4</v>
      </c>
      <c r="G20" t="s">
        <v>4</v>
      </c>
      <c r="H20" t="s">
        <v>4</v>
      </c>
      <c r="I20" t="str">
        <f>IF(A20&lt;&gt;B20,"FLAG","")</f>
        <v/>
      </c>
    </row>
    <row r="21" spans="1:9" x14ac:dyDescent="0.2">
      <c r="A21" t="s">
        <v>28</v>
      </c>
      <c r="B21" t="s">
        <v>28</v>
      </c>
      <c r="C21" t="s">
        <v>95</v>
      </c>
      <c r="D21" t="s">
        <v>4</v>
      </c>
      <c r="E21" t="s">
        <v>4</v>
      </c>
      <c r="F21" t="s">
        <v>4</v>
      </c>
      <c r="G21" t="s">
        <v>4</v>
      </c>
      <c r="H21" t="s">
        <v>4</v>
      </c>
      <c r="I21" t="str">
        <f>IF(A21&lt;&gt;B21,"FLAG","")</f>
        <v/>
      </c>
    </row>
    <row r="22" spans="1:9" x14ac:dyDescent="0.2">
      <c r="A22" t="s">
        <v>7</v>
      </c>
      <c r="B22" t="s">
        <v>7</v>
      </c>
      <c r="C22" t="s">
        <v>96</v>
      </c>
      <c r="D22" t="s">
        <v>8</v>
      </c>
      <c r="E22" t="s">
        <v>103</v>
      </c>
      <c r="F22" t="s">
        <v>99</v>
      </c>
      <c r="G22" t="s">
        <v>6</v>
      </c>
      <c r="H22" t="s">
        <v>4</v>
      </c>
      <c r="I22" t="str" cm="1">
        <f t="array" ref="I22">IF(A22&lt;&gt;B22,Changed,"")</f>
        <v/>
      </c>
    </row>
    <row r="23" spans="1:9" x14ac:dyDescent="0.2">
      <c r="A23" s="2" t="s">
        <v>60</v>
      </c>
      <c r="B23" t="s">
        <v>61</v>
      </c>
      <c r="C23" t="s">
        <v>97</v>
      </c>
      <c r="D23" t="s">
        <v>41</v>
      </c>
      <c r="E23" t="s">
        <v>41</v>
      </c>
      <c r="F23" s="4" t="s">
        <v>100</v>
      </c>
      <c r="G23" t="s">
        <v>41</v>
      </c>
      <c r="H23" t="s">
        <v>4</v>
      </c>
      <c r="I23" t="str">
        <f>IF(A23&lt;&gt;B23,"FLAG","")</f>
        <v>FLAG</v>
      </c>
    </row>
    <row r="24" spans="1:9" x14ac:dyDescent="0.2">
      <c r="A24" t="s">
        <v>72</v>
      </c>
      <c r="B24" t="s">
        <v>72</v>
      </c>
      <c r="C24" t="s">
        <v>97</v>
      </c>
      <c r="D24" t="s">
        <v>106</v>
      </c>
      <c r="E24" t="s">
        <v>106</v>
      </c>
      <c r="F24" s="4" t="s">
        <v>100</v>
      </c>
      <c r="G24" t="s">
        <v>41</v>
      </c>
      <c r="H24" t="s">
        <v>4</v>
      </c>
      <c r="I24" t="str">
        <f>IF(A24&lt;&gt;B24,"FLAG","")</f>
        <v/>
      </c>
    </row>
    <row r="25" spans="1:9" x14ac:dyDescent="0.2">
      <c r="A25" t="s">
        <v>73</v>
      </c>
      <c r="B25" t="s">
        <v>73</v>
      </c>
      <c r="C25" t="s">
        <v>97</v>
      </c>
      <c r="D25" t="s">
        <v>106</v>
      </c>
      <c r="E25" t="s">
        <v>106</v>
      </c>
      <c r="F25" s="4" t="s">
        <v>100</v>
      </c>
      <c r="G25" t="s">
        <v>41</v>
      </c>
      <c r="H25" t="s">
        <v>4</v>
      </c>
      <c r="I25" t="str">
        <f>IF(A25&lt;&gt;B25,"FLAG","")</f>
        <v/>
      </c>
    </row>
    <row r="26" spans="1:9" x14ac:dyDescent="0.2">
      <c r="A26" s="5" t="s">
        <v>40</v>
      </c>
      <c r="B26" s="5" t="s">
        <v>40</v>
      </c>
      <c r="C26" s="5" t="s">
        <v>111</v>
      </c>
      <c r="D26" s="5" t="s">
        <v>112</v>
      </c>
      <c r="E26" s="5" t="s">
        <v>42</v>
      </c>
      <c r="F26" s="6" t="s">
        <v>100</v>
      </c>
      <c r="G26" s="5" t="s">
        <v>41</v>
      </c>
      <c r="H26" s="5" t="s">
        <v>4</v>
      </c>
      <c r="I26" t="str">
        <f>IF(A26&lt;&gt;B26,"FLAG","")</f>
        <v/>
      </c>
    </row>
    <row r="27" spans="1:9" x14ac:dyDescent="0.2">
      <c r="A27" s="5" t="s">
        <v>43</v>
      </c>
      <c r="B27" s="5" t="s">
        <v>43</v>
      </c>
      <c r="C27" s="5" t="s">
        <v>111</v>
      </c>
      <c r="D27" s="5" t="s">
        <v>112</v>
      </c>
      <c r="E27" s="5" t="s">
        <v>42</v>
      </c>
      <c r="F27" s="6" t="s">
        <v>100</v>
      </c>
      <c r="G27" s="5" t="s">
        <v>41</v>
      </c>
      <c r="H27" s="5" t="s">
        <v>4</v>
      </c>
      <c r="I27" t="str">
        <f>IF(A27&lt;&gt;B27,"FLAG","")</f>
        <v/>
      </c>
    </row>
  </sheetData>
  <conditionalFormatting sqref="I2:I22">
    <cfRule type="containsText" dxfId="3" priority="7" operator="containsText" text="FLAG">
      <formula>NOT(ISERROR(SEARCH("FLAG",I2)))</formula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3">
    <cfRule type="containsText" dxfId="2" priority="5" operator="containsText" text="FLAG">
      <formula>NOT(ISERROR(SEARCH("FLAG",I23)))</formula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4:I25">
    <cfRule type="containsText" dxfId="1" priority="3" operator="containsText" text="FLAG">
      <formula>NOT(ISERROR(SEARCH("FLAG",I24)))</formula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6:I27">
    <cfRule type="containsText" dxfId="0" priority="1" operator="containsText" text="FLAG">
      <formula>NOT(ISERROR(SEARCH("FLAG",I26)))</formula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ltr_lineage_table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Gifford</dc:creator>
  <cp:lastModifiedBy>Rob Gifford</cp:lastModifiedBy>
  <dcterms:created xsi:type="dcterms:W3CDTF">2026-06-10T12:17:57Z</dcterms:created>
  <dcterms:modified xsi:type="dcterms:W3CDTF">2026-09-30T14:46:32Z</dcterms:modified>
</cp:coreProperties>
</file>