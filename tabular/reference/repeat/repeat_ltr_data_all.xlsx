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8D5BE321-2B7F-0D4C-96E3-889EFFC8B7D9}" xr6:coauthVersionLast="45" xr6:coauthVersionMax="45" xr10:uidLastSave="{00000000-0000-0000-0000-000000000000}"/>
  <bookViews>
    <workbookView xWindow="1422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6" i="1" l="1"/>
  <c r="I6" i="1"/>
  <c r="I5" i="1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34" i="1" l="1"/>
  <c r="I35" i="1"/>
  <c r="I4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7" i="1"/>
  <c r="I28" i="1"/>
  <c r="I29" i="1"/>
  <c r="I30" i="1"/>
  <c r="I31" i="1"/>
  <c r="I32" i="1"/>
  <c r="I33" i="1"/>
  <c r="I36" i="1"/>
  <c r="I37" i="1"/>
  <c r="I3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<sst xmlns="http://schemas.openxmlformats.org/spreadsheetml/2006/main" count="546" uniqueCount="120">
  <si>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</si>
  <si>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</si>
  <si>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</si>
  <si>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</si>
  <si>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</si>
  <si>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</si>
  <si>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</si>
  <si>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</si>
  <si>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</si>
  <si>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</si>
  <si>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</si>
  <si>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</si>
  <si>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</si>
  <si>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LTR37A</t>
  </si>
  <si>
    <t>LTR-37</t>
  </si>
  <si>
    <t>LTR37B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</si>
  <si>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</si>
  <si>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</si>
  <si>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</si>
  <si>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</si>
  <si>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</si>
  <si>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</si>
  <si>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</si>
  <si>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</si>
  <si>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</si>
  <si>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</si>
  <si>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</si>
  <si>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</si>
  <si>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</si>
  <si>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</si>
  <si>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</si>
  <si>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</si>
  <si>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</si>
  <si>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</si>
  <si>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</si>
  <si>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</si>
  <si>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</si>
  <si>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</si>
  <si>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</si>
  <si>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</si>
  <si>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</si>
  <si>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</si>
  <si>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</si>
  <si>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</si>
  <si>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</si>
  <si>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</si>
  <si>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</si>
  <si>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</si>
  <si>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MER34A</t>
  </si>
  <si>
    <t>MER34A1</t>
  </si>
  <si>
    <t>LTR35</t>
  </si>
  <si>
    <t>HERV-35</t>
  </si>
  <si>
    <t>LTR35B</t>
  </si>
  <si>
    <t>LTR60</t>
  </si>
  <si>
    <t>LTR85b</t>
  </si>
  <si>
    <t>MLT2B2</t>
  </si>
  <si>
    <t>Lambda</t>
  </si>
  <si>
    <t>ERV-L</t>
  </si>
  <si>
    <t>MLT2E</t>
  </si>
  <si>
    <t>MLT2C2</t>
  </si>
  <si>
    <t>MLT2C1</t>
  </si>
  <si>
    <t>MER68</t>
  </si>
  <si>
    <t>MER68B</t>
  </si>
  <si>
    <t>MER68C</t>
  </si>
  <si>
    <t>LTR53</t>
  </si>
  <si>
    <t>LTR53B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</si>
  <si>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</si>
  <si>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</si>
  <si>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</si>
  <si>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</si>
  <si>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</si>
  <si>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</si>
  <si>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</si>
  <si>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</si>
  <si>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</si>
  <si>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</si>
  <si>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</si>
  <si>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</si>
  <si>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</si>
  <si>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</si>
  <si>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</si>
  <si>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</si>
  <si>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</si>
  <si>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</si>
  <si>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</si>
  <si>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</si>
  <si>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</si>
  <si>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</si>
  <si>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</si>
  <si>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</si>
  <si>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HERV-L68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</si>
  <si>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</si>
  <si>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</si>
  <si>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</si>
  <si>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</si>
  <si>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</si>
  <si>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</si>
  <si>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</si>
  <si>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ERVR-1.Theta.37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</si>
  <si>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</si>
  <si>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</si>
  <si>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</si>
  <si>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</si>
  <si>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</si>
  <si>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</si>
  <si>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</si>
  <si>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</si>
  <si>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ERV-1.Zeta.35</t>
  </si>
  <si>
    <t>ERV-3.Lambda.L</t>
  </si>
  <si>
    <t>ERV-3.Lambda.68</t>
  </si>
  <si>
    <t>ERV-1.Rho.Rb.39</t>
  </si>
  <si>
    <t>HERV-39</t>
  </si>
  <si>
    <t>LTR38</t>
  </si>
  <si>
    <t>LTR38B</t>
  </si>
  <si>
    <t>LTR39</t>
  </si>
  <si>
    <t>ERV-3.Lambda.53</t>
  </si>
  <si>
    <t>ERV-1.Rho.Rb.31</t>
  </si>
  <si>
    <t>HERV-57</t>
  </si>
  <si>
    <t>ERV-3.Lambda.57</t>
  </si>
  <si>
    <t>LTR57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</si>
</sst>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topLeftCell="A20" workbookViewId="0">
      <selection activeCell="A41" sqref="A41:XFD41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94</v>
      </c>
      <c r="D1" s="3" t="s">
        <v>92</v>
      </c>
      <c r="E1" s="3" t="s">
        <v>93</v>
      </c>
      <c r="F1" s="3" t="s">
        <v>84</v>
      </c>
      <c r="G1" s="3" t="s">
        <v>2</v>
      </c>
      <c r="H1" s="3" t="s">
        <v>3</v>
      </c>
      <c r="I1" s="3" t="s">
        <v>79</v>
      </c>
    </row>
    <row r="2" spans="1:9" x14ac:dyDescent="0.2">
      <c r="A2" s="5" t="s">
        <v>23</v>
      </c>
      <c r="B2" s="5" t="s">
        <v>23</v>
      </c>
      <c r="C2" s="5" t="s">
        <v>95</v>
      </c>
      <c r="D2" s="5" t="s">
        <v>110</v>
      </c>
      <c r="E2" s="5" t="s">
        <v>111</v>
      </c>
      <c r="F2" s="6" t="s">
        <v>86</v>
      </c>
      <c r="G2" s="5" t="s">
        <v>6</v>
      </c>
      <c r="H2" s="5" t="s">
        <v>4</v>
      </c>
    </row>
    <row r="3" spans="1:9" x14ac:dyDescent="0.2">
      <c r="A3" s="5" t="s">
        <v>7</v>
      </c>
      <c r="B3" s="5" t="s">
        <v>7</v>
      </c>
      <c r="C3" s="5" t="s">
        <v>95</v>
      </c>
      <c r="D3" s="5" t="s">
        <v>116</v>
      </c>
      <c r="E3" s="5" t="s">
        <v>89</v>
      </c>
      <c r="F3" s="6" t="s">
        <v>86</v>
      </c>
      <c r="G3" s="5" t="s">
        <v>6</v>
      </c>
      <c r="H3" s="5" t="s">
        <v>4</v>
      </c>
    </row>
    <row r="4" spans="1:9" x14ac:dyDescent="0.2">
      <c r="A4" s="5" t="s">
        <v>11</v>
      </c>
      <c r="B4" s="5" t="s">
        <v>11</v>
      </c>
      <c r="C4" s="5" t="s">
        <v>95</v>
      </c>
      <c r="D4" s="5" t="s">
        <v>97</v>
      </c>
      <c r="E4" s="5" t="s">
        <v>10</v>
      </c>
      <c r="F4" s="6" t="s">
        <v>86</v>
      </c>
      <c r="G4" s="5" t="s">
        <v>9</v>
      </c>
      <c r="H4" s="5" t="s">
        <v>4</v>
      </c>
      <c r="I4" t="str">
        <f>IF(A4&lt;&gt;B4,"FLAG","")</f>
        <v/>
      </c>
    </row>
    <row r="5" spans="1:9" x14ac:dyDescent="0.2">
      <c r="A5" s="5" t="s">
        <v>112</v>
      </c>
      <c r="B5" s="5" t="s">
        <v>112</v>
      </c>
      <c r="C5" s="5" t="s">
        <v>95</v>
      </c>
      <c r="D5" s="5" t="s">
        <v>97</v>
      </c>
      <c r="E5" s="5" t="s">
        <v>10</v>
      </c>
      <c r="F5" s="6" t="s">
        <v>86</v>
      </c>
      <c r="G5" s="5" t="s">
        <v>9</v>
      </c>
      <c r="H5" s="5" t="s">
        <v>4</v>
      </c>
      <c r="I5" t="str">
        <f>IF(A5&lt;&gt;B5,"FLAG","")</f>
        <v/>
      </c>
    </row>
    <row r="6" spans="1:9" x14ac:dyDescent="0.2">
      <c r="A6" s="5" t="s">
        <v>113</v>
      </c>
      <c r="B6" s="5" t="s">
        <v>113</v>
      </c>
      <c r="C6" s="5" t="s">
        <v>95</v>
      </c>
      <c r="D6" s="5" t="s">
        <v>97</v>
      </c>
      <c r="E6" s="5" t="s">
        <v>10</v>
      </c>
      <c r="F6" s="6" t="s">
        <v>86</v>
      </c>
      <c r="G6" s="5" t="s">
        <v>9</v>
      </c>
      <c r="H6" s="5" t="s">
        <v>4</v>
      </c>
      <c r="I6" t="str">
        <f>IF(A6&lt;&gt;B6,"FLAG","")</f>
        <v/>
      </c>
    </row>
    <row r="7" spans="1:9" x14ac:dyDescent="0.2">
      <c r="A7" s="5" t="s">
        <v>12</v>
      </c>
      <c r="B7" s="5" t="s">
        <v>12</v>
      </c>
      <c r="C7" s="5" t="s">
        <v>95</v>
      </c>
      <c r="D7" s="5" t="s">
        <v>97</v>
      </c>
      <c r="E7" s="5" t="s">
        <v>10</v>
      </c>
      <c r="F7" s="6" t="s">
        <v>86</v>
      </c>
      <c r="G7" s="5" t="s">
        <v>9</v>
      </c>
      <c r="H7" s="5" t="s">
        <v>4</v>
      </c>
      <c r="I7" t="str">
        <f>IF(A7&lt;&gt;B7,"FLAG","")</f>
        <v/>
      </c>
    </row>
    <row r="8" spans="1:9" x14ac:dyDescent="0.2">
      <c r="A8" s="5" t="s">
        <v>13</v>
      </c>
      <c r="B8" s="5" t="s">
        <v>13</v>
      </c>
      <c r="C8" s="5" t="s">
        <v>95</v>
      </c>
      <c r="D8" s="5" t="s">
        <v>98</v>
      </c>
      <c r="E8" s="5" t="s">
        <v>14</v>
      </c>
      <c r="F8" s="6" t="s">
        <v>86</v>
      </c>
      <c r="G8" s="5" t="s">
        <v>9</v>
      </c>
      <c r="H8" s="5" t="s">
        <v>4</v>
      </c>
      <c r="I8" t="str">
        <f t="shared" ref="I8:I33" si="0">IF(A8&lt;&gt;B8,"FLAG","")</f>
        <v/>
      </c>
    </row>
    <row r="9" spans="1:9" x14ac:dyDescent="0.2">
      <c r="A9" s="5" t="s">
        <v>15</v>
      </c>
      <c r="B9" s="5" t="s">
        <v>15</v>
      </c>
      <c r="C9" s="5" t="s">
        <v>95</v>
      </c>
      <c r="D9" s="5" t="s">
        <v>98</v>
      </c>
      <c r="E9" s="5" t="s">
        <v>14</v>
      </c>
      <c r="F9" s="6" t="s">
        <v>86</v>
      </c>
      <c r="G9" s="5" t="s">
        <v>9</v>
      </c>
      <c r="H9" s="5" t="s">
        <v>4</v>
      </c>
      <c r="I9" t="str">
        <f t="shared" si="0"/>
        <v/>
      </c>
    </row>
    <row r="10" spans="1:9" x14ac:dyDescent="0.2">
      <c r="A10" s="5" t="s">
        <v>16</v>
      </c>
      <c r="B10" s="5" t="s">
        <v>16</v>
      </c>
      <c r="C10" s="5" t="s">
        <v>95</v>
      </c>
      <c r="D10" s="5" t="s">
        <v>99</v>
      </c>
      <c r="E10" s="5" t="s">
        <v>17</v>
      </c>
      <c r="F10" s="6" t="s">
        <v>86</v>
      </c>
      <c r="G10" s="5" t="s">
        <v>9</v>
      </c>
      <c r="H10" s="5" t="s">
        <v>4</v>
      </c>
      <c r="I10" t="str">
        <f t="shared" si="0"/>
        <v/>
      </c>
    </row>
    <row r="11" spans="1:9" x14ac:dyDescent="0.2">
      <c r="A11" s="5" t="s">
        <v>18</v>
      </c>
      <c r="B11" s="5" t="s">
        <v>18</v>
      </c>
      <c r="C11" s="5" t="s">
        <v>95</v>
      </c>
      <c r="D11" s="5" t="s">
        <v>99</v>
      </c>
      <c r="E11" s="5" t="s">
        <v>17</v>
      </c>
      <c r="F11" s="6" t="s">
        <v>86</v>
      </c>
      <c r="G11" s="5" t="s">
        <v>9</v>
      </c>
      <c r="H11" s="5" t="s">
        <v>4</v>
      </c>
      <c r="I11" t="str">
        <f t="shared" si="0"/>
        <v/>
      </c>
    </row>
    <row r="12" spans="1:9" x14ac:dyDescent="0.2">
      <c r="A12" s="5" t="s">
        <v>19</v>
      </c>
      <c r="B12" s="5" t="s">
        <v>19</v>
      </c>
      <c r="C12" s="5" t="s">
        <v>95</v>
      </c>
      <c r="D12" s="5" t="s">
        <v>99</v>
      </c>
      <c r="E12" s="5" t="s">
        <v>17</v>
      </c>
      <c r="F12" s="6" t="s">
        <v>86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20</v>
      </c>
      <c r="B13" s="5" t="s">
        <v>20</v>
      </c>
      <c r="C13" s="5" t="s">
        <v>95</v>
      </c>
      <c r="D13" s="5" t="s">
        <v>100</v>
      </c>
      <c r="E13" s="5" t="s">
        <v>21</v>
      </c>
      <c r="F13" s="6" t="s">
        <v>86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22</v>
      </c>
      <c r="B14" s="5" t="s">
        <v>22</v>
      </c>
      <c r="C14" s="5" t="s">
        <v>95</v>
      </c>
      <c r="D14" s="5" t="s">
        <v>100</v>
      </c>
      <c r="E14" s="5" t="s">
        <v>21</v>
      </c>
      <c r="F14" s="6" t="s">
        <v>86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23</v>
      </c>
      <c r="B15" s="5" t="s">
        <v>23</v>
      </c>
      <c r="C15" s="5" t="s">
        <v>95</v>
      </c>
      <c r="D15" s="5" t="s">
        <v>100</v>
      </c>
      <c r="E15" s="5" t="s">
        <v>21</v>
      </c>
      <c r="F15" s="6" t="s">
        <v>86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24</v>
      </c>
      <c r="B16" s="5" t="s">
        <v>24</v>
      </c>
      <c r="C16" s="5" t="s">
        <v>95</v>
      </c>
      <c r="D16" s="5" t="s">
        <v>100</v>
      </c>
      <c r="E16" s="5" t="s">
        <v>21</v>
      </c>
      <c r="F16" s="6" t="s">
        <v>86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25</v>
      </c>
      <c r="B17" s="5" t="s">
        <v>25</v>
      </c>
      <c r="C17" s="5" t="s">
        <v>95</v>
      </c>
      <c r="D17" s="5" t="s">
        <v>101</v>
      </c>
      <c r="E17" s="5" t="s">
        <v>26</v>
      </c>
      <c r="F17" s="6" t="s">
        <v>86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27</v>
      </c>
      <c r="B18" s="5" t="s">
        <v>27</v>
      </c>
      <c r="C18" s="5" t="s">
        <v>95</v>
      </c>
      <c r="D18" s="5" t="s">
        <v>102</v>
      </c>
      <c r="E18" s="5" t="s">
        <v>28</v>
      </c>
      <c r="F18" s="6" t="s">
        <v>86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29</v>
      </c>
      <c r="B19" s="5" t="s">
        <v>29</v>
      </c>
      <c r="C19" s="5" t="s">
        <v>95</v>
      </c>
      <c r="D19" s="5" t="s">
        <v>102</v>
      </c>
      <c r="E19" s="5" t="s">
        <v>28</v>
      </c>
      <c r="F19" s="6" t="s">
        <v>86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30</v>
      </c>
      <c r="B20" s="5" t="s">
        <v>30</v>
      </c>
      <c r="C20" s="5" t="s">
        <v>95</v>
      </c>
      <c r="D20" s="5" t="s">
        <v>102</v>
      </c>
      <c r="E20" s="5" t="s">
        <v>28</v>
      </c>
      <c r="F20" s="6" t="s">
        <v>86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31</v>
      </c>
      <c r="B21" s="5" t="s">
        <v>31</v>
      </c>
      <c r="C21" s="5" t="s">
        <v>95</v>
      </c>
      <c r="D21" s="5" t="s">
        <v>102</v>
      </c>
      <c r="E21" s="5" t="s">
        <v>28</v>
      </c>
      <c r="F21" s="6" t="s">
        <v>86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32</v>
      </c>
      <c r="B22" s="5" t="s">
        <v>32</v>
      </c>
      <c r="C22" s="5" t="s">
        <v>95</v>
      </c>
      <c r="D22" s="5" t="s">
        <v>102</v>
      </c>
      <c r="E22" s="5" t="s">
        <v>28</v>
      </c>
      <c r="F22" s="6" t="s">
        <v>86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33</v>
      </c>
      <c r="B23" s="5" t="s">
        <v>33</v>
      </c>
      <c r="C23" s="5" t="s">
        <v>95</v>
      </c>
      <c r="D23" s="5" t="s">
        <v>102</v>
      </c>
      <c r="E23" s="5" t="s">
        <v>28</v>
      </c>
      <c r="F23" s="6" t="s">
        <v>86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34</v>
      </c>
      <c r="B24" s="5" t="s">
        <v>34</v>
      </c>
      <c r="C24" s="5" t="s">
        <v>95</v>
      </c>
      <c r="D24" s="5" t="s">
        <v>102</v>
      </c>
      <c r="E24" s="5" t="s">
        <v>28</v>
      </c>
      <c r="F24" s="6" t="s">
        <v>86</v>
      </c>
      <c r="G24" s="5" t="s">
        <v>9</v>
      </c>
      <c r="H24" s="5" t="s">
        <v>4</v>
      </c>
      <c r="I24" t="str">
        <f t="shared" si="0"/>
        <v/>
      </c>
    </row>
    <row r="25" spans="1:9" x14ac:dyDescent="0.2">
      <c r="A25" s="5" t="s">
        <v>35</v>
      </c>
      <c r="B25" s="5" t="s">
        <v>35</v>
      </c>
      <c r="C25" s="5" t="s">
        <v>95</v>
      </c>
      <c r="D25" s="5" t="s">
        <v>102</v>
      </c>
      <c r="E25" s="5" t="s">
        <v>28</v>
      </c>
      <c r="F25" s="6" t="s">
        <v>86</v>
      </c>
      <c r="G25" s="5" t="s">
        <v>9</v>
      </c>
      <c r="H25" s="5" t="s">
        <v>4</v>
      </c>
      <c r="I25" t="str">
        <f t="shared" si="0"/>
        <v/>
      </c>
    </row>
    <row r="26" spans="1:9" x14ac:dyDescent="0.2">
      <c r="A26" s="5" t="s">
        <v>114</v>
      </c>
      <c r="B26" s="5" t="s">
        <v>114</v>
      </c>
      <c r="C26" s="5" t="s">
        <v>95</v>
      </c>
      <c r="D26" s="5" t="s">
        <v>103</v>
      </c>
      <c r="E26" s="5" t="s">
        <v>37</v>
      </c>
      <c r="F26" s="6" t="s">
        <v>86</v>
      </c>
      <c r="G26" s="5" t="s">
        <v>9</v>
      </c>
      <c r="H26" s="5" t="s">
        <v>4</v>
      </c>
      <c r="I26" t="str">
        <f t="shared" si="0"/>
        <v/>
      </c>
    </row>
    <row r="27" spans="1:9" x14ac:dyDescent="0.2">
      <c r="A27" s="5" t="s">
        <v>36</v>
      </c>
      <c r="B27" s="5" t="s">
        <v>36</v>
      </c>
      <c r="C27" s="5" t="s">
        <v>95</v>
      </c>
      <c r="D27" s="5" t="s">
        <v>103</v>
      </c>
      <c r="E27" s="5" t="s">
        <v>37</v>
      </c>
      <c r="F27" s="6" t="s">
        <v>86</v>
      </c>
      <c r="G27" s="5" t="s">
        <v>9</v>
      </c>
      <c r="H27" s="5" t="s">
        <v>4</v>
      </c>
      <c r="I27" t="str">
        <f t="shared" si="0"/>
        <v/>
      </c>
    </row>
    <row r="28" spans="1:9" x14ac:dyDescent="0.2">
      <c r="A28" s="5" t="s">
        <v>38</v>
      </c>
      <c r="B28" s="5" t="s">
        <v>38</v>
      </c>
      <c r="C28" s="5" t="s">
        <v>95</v>
      </c>
      <c r="D28" s="5" t="s">
        <v>104</v>
      </c>
      <c r="E28" s="5" t="s">
        <v>39</v>
      </c>
      <c r="F28" s="6" t="s">
        <v>86</v>
      </c>
      <c r="G28" s="5" t="s">
        <v>9</v>
      </c>
      <c r="H28" s="5" t="s">
        <v>4</v>
      </c>
      <c r="I28" t="str">
        <f t="shared" si="0"/>
        <v/>
      </c>
    </row>
    <row r="29" spans="1:9" x14ac:dyDescent="0.2">
      <c r="A29" s="5" t="s">
        <v>40</v>
      </c>
      <c r="B29" s="5" t="s">
        <v>40</v>
      </c>
      <c r="C29" s="5" t="s">
        <v>95</v>
      </c>
      <c r="D29" s="5" t="s">
        <v>105</v>
      </c>
      <c r="E29" s="5" t="s">
        <v>41</v>
      </c>
      <c r="F29" s="6" t="s">
        <v>86</v>
      </c>
      <c r="G29" s="5" t="s">
        <v>9</v>
      </c>
      <c r="H29" s="5" t="s">
        <v>4</v>
      </c>
      <c r="I29" t="str">
        <f t="shared" si="0"/>
        <v/>
      </c>
    </row>
    <row r="30" spans="1:9" x14ac:dyDescent="0.2">
      <c r="A30" s="5" t="s">
        <v>42</v>
      </c>
      <c r="B30" s="5" t="s">
        <v>42</v>
      </c>
      <c r="C30" s="5" t="s">
        <v>95</v>
      </c>
      <c r="D30" s="5" t="s">
        <v>105</v>
      </c>
      <c r="E30" s="5" t="s">
        <v>41</v>
      </c>
      <c r="F30" s="6" t="s">
        <v>86</v>
      </c>
      <c r="G30" s="5" t="s">
        <v>9</v>
      </c>
      <c r="H30" s="5" t="s">
        <v>4</v>
      </c>
      <c r="I30" t="str">
        <f t="shared" si="0"/>
        <v/>
      </c>
    </row>
    <row r="31" spans="1:9" x14ac:dyDescent="0.2">
      <c r="A31" s="5" t="s">
        <v>43</v>
      </c>
      <c r="B31" s="5" t="s">
        <v>43</v>
      </c>
      <c r="C31" s="5" t="s">
        <v>95</v>
      </c>
      <c r="D31" s="5" t="s">
        <v>105</v>
      </c>
      <c r="E31" s="5" t="s">
        <v>41</v>
      </c>
      <c r="F31" s="6" t="s">
        <v>86</v>
      </c>
      <c r="G31" s="5" t="s">
        <v>9</v>
      </c>
      <c r="H31" s="5" t="s">
        <v>4</v>
      </c>
      <c r="I31" t="str">
        <f t="shared" si="0"/>
        <v/>
      </c>
    </row>
    <row r="32" spans="1:9" x14ac:dyDescent="0.2">
      <c r="A32" s="5" t="s">
        <v>44</v>
      </c>
      <c r="B32" s="5" t="s">
        <v>44</v>
      </c>
      <c r="C32" s="5" t="s">
        <v>95</v>
      </c>
      <c r="D32" s="5" t="s">
        <v>105</v>
      </c>
      <c r="E32" s="5" t="s">
        <v>41</v>
      </c>
      <c r="F32" s="6" t="s">
        <v>86</v>
      </c>
      <c r="G32" s="5" t="s">
        <v>9</v>
      </c>
      <c r="H32" s="5" t="s">
        <v>4</v>
      </c>
      <c r="I32" t="str">
        <f t="shared" si="0"/>
        <v/>
      </c>
    </row>
    <row r="33" spans="1:9" x14ac:dyDescent="0.2">
      <c r="A33" s="5" t="s">
        <v>45</v>
      </c>
      <c r="B33" s="5" t="s">
        <v>45</v>
      </c>
      <c r="C33" s="5" t="s">
        <v>95</v>
      </c>
      <c r="D33" s="5" t="s">
        <v>106</v>
      </c>
      <c r="E33" s="5" t="s">
        <v>46</v>
      </c>
      <c r="F33" s="6" t="s">
        <v>86</v>
      </c>
      <c r="G33" s="5" t="s">
        <v>9</v>
      </c>
      <c r="H33" s="5" t="s">
        <v>4</v>
      </c>
      <c r="I33" t="str">
        <f t="shared" si="0"/>
        <v/>
      </c>
    </row>
    <row r="34" spans="1:9" x14ac:dyDescent="0.2">
      <c r="A34" s="5" t="s">
        <v>50</v>
      </c>
      <c r="B34" s="5" t="s">
        <v>50</v>
      </c>
      <c r="C34" s="5" t="s">
        <v>95</v>
      </c>
      <c r="D34" s="5" t="s">
        <v>107</v>
      </c>
      <c r="E34" s="5" t="s">
        <v>51</v>
      </c>
      <c r="F34" s="6" t="s">
        <v>86</v>
      </c>
      <c r="G34" s="5" t="s">
        <v>47</v>
      </c>
      <c r="H34" s="5" t="s">
        <v>4</v>
      </c>
      <c r="I34" t="str">
        <f t="shared" ref="I34:I35" si="1">IF(A34&lt;&gt;B34,"FLAG","")</f>
        <v/>
      </c>
    </row>
    <row r="35" spans="1:9" x14ac:dyDescent="0.2">
      <c r="A35" s="5" t="s">
        <v>52</v>
      </c>
      <c r="B35" s="5" t="s">
        <v>52</v>
      </c>
      <c r="C35" s="5" t="s">
        <v>95</v>
      </c>
      <c r="D35" s="5" t="s">
        <v>107</v>
      </c>
      <c r="E35" s="5" t="s">
        <v>51</v>
      </c>
      <c r="F35" s="6" t="s">
        <v>86</v>
      </c>
      <c r="G35" s="5" t="s">
        <v>47</v>
      </c>
      <c r="H35" s="5" t="s">
        <v>4</v>
      </c>
      <c r="I35" t="str">
        <f t="shared" si="1"/>
        <v/>
      </c>
    </row>
    <row r="36" spans="1:9" x14ac:dyDescent="0.2">
      <c r="A36" s="5" t="s">
        <v>61</v>
      </c>
      <c r="B36" s="5" t="s">
        <v>61</v>
      </c>
      <c r="C36" s="5" t="s">
        <v>96</v>
      </c>
      <c r="D36" s="5" t="s">
        <v>109</v>
      </c>
      <c r="E36" s="5" t="s">
        <v>90</v>
      </c>
      <c r="F36" s="6" t="s">
        <v>86</v>
      </c>
      <c r="G36" s="5" t="s">
        <v>56</v>
      </c>
      <c r="H36" s="5" t="s">
        <v>4</v>
      </c>
      <c r="I36" t="str">
        <f t="shared" ref="I36:I38" si="2">IF(A36&lt;&gt;B36,"FLAG","")</f>
        <v/>
      </c>
    </row>
    <row r="37" spans="1:9" x14ac:dyDescent="0.2">
      <c r="A37" s="5" t="s">
        <v>62</v>
      </c>
      <c r="B37" s="5" t="s">
        <v>62</v>
      </c>
      <c r="C37" s="5" t="s">
        <v>96</v>
      </c>
      <c r="D37" s="5" t="s">
        <v>109</v>
      </c>
      <c r="E37" s="5" t="s">
        <v>90</v>
      </c>
      <c r="F37" s="6" t="s">
        <v>86</v>
      </c>
      <c r="G37" s="5" t="s">
        <v>56</v>
      </c>
      <c r="H37" s="5" t="s">
        <v>4</v>
      </c>
      <c r="I37" t="str">
        <f t="shared" si="2"/>
        <v/>
      </c>
    </row>
    <row r="38" spans="1:9" x14ac:dyDescent="0.2">
      <c r="A38" s="5" t="s">
        <v>63</v>
      </c>
      <c r="B38" s="5" t="s">
        <v>63</v>
      </c>
      <c r="C38" s="5" t="s">
        <v>96</v>
      </c>
      <c r="D38" s="5" t="s">
        <v>109</v>
      </c>
      <c r="E38" s="5" t="s">
        <v>90</v>
      </c>
      <c r="F38" s="6" t="s">
        <v>86</v>
      </c>
      <c r="G38" s="5" t="s">
        <v>56</v>
      </c>
      <c r="H38" s="5" t="s">
        <v>4</v>
      </c>
      <c r="I38" t="str">
        <f t="shared" si="2"/>
        <v/>
      </c>
    </row>
    <row r="39" spans="1:9" x14ac:dyDescent="0.2">
      <c r="A39" s="5" t="s">
        <v>64</v>
      </c>
      <c r="B39" s="5" t="s">
        <v>64</v>
      </c>
      <c r="C39" s="5" t="s">
        <v>96</v>
      </c>
      <c r="D39" s="5" t="s">
        <v>115</v>
      </c>
      <c r="E39" s="5" t="s">
        <v>91</v>
      </c>
      <c r="F39" s="6" t="s">
        <v>86</v>
      </c>
      <c r="G39" s="5" t="s">
        <v>56</v>
      </c>
      <c r="H39" s="5" t="s">
        <v>4</v>
      </c>
    </row>
    <row r="40" spans="1:9" x14ac:dyDescent="0.2">
      <c r="A40" s="5" t="s">
        <v>65</v>
      </c>
      <c r="B40" s="5" t="s">
        <v>65</v>
      </c>
      <c r="C40" s="5" t="s">
        <v>96</v>
      </c>
      <c r="D40" s="5" t="s">
        <v>115</v>
      </c>
      <c r="E40" s="5" t="s">
        <v>91</v>
      </c>
      <c r="F40" s="6" t="s">
        <v>86</v>
      </c>
      <c r="G40" s="5" t="s">
        <v>56</v>
      </c>
      <c r="H40" s="5" t="s">
        <v>4</v>
      </c>
    </row>
    <row r="41" spans="1:9" x14ac:dyDescent="0.2">
      <c r="A41" s="5" t="s">
        <v>119</v>
      </c>
      <c r="B41" s="5" t="s">
        <v>119</v>
      </c>
      <c r="C41" s="5" t="s">
        <v>95</v>
      </c>
      <c r="D41" s="5" t="s">
        <v>118</v>
      </c>
      <c r="E41" s="5" t="s">
        <v>117</v>
      </c>
      <c r="F41" s="6" t="s">
        <v>86</v>
      </c>
      <c r="G41" s="5" t="s">
        <v>56</v>
      </c>
      <c r="H41" s="5" t="s">
        <v>4</v>
      </c>
    </row>
  </sheetData>
  <sortState xmlns:xlrd2="http://schemas.microsoft.com/office/spreadsheetml/2017/richdata2" ref="A2:I40">
    <sortCondition ref="C2:C40"/>
    <sortCondition ref="G2:G40"/>
    <sortCondition ref="H2:H40"/>
  </sortState>
  <phoneticPr fontId="19" type="noConversion"/>
  <conditionalFormatting sqref="I4">
    <cfRule type="containsText" dxfId="8" priority="9" operator="containsText" text="FLAG">
      <formula>NOT(ISERROR(SEARCH("FLAG",I4)))</formula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ntainsText" dxfId="7" priority="7" operator="containsText" text="FLAG">
      <formula>NOT(ISERROR(SEARCH("FLAG",I5)))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5">
    <cfRule type="containsText" dxfId="6" priority="5" operator="containsText" text="FLAG">
      <formula>NOT(ISERROR(SEARCH("FLAG",I25)))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35 I2:I3 I6:I24">
    <cfRule type="containsText" dxfId="5" priority="55" operator="containsText" text="FLAG">
      <formula>NOT(ISERROR(SEARCH("FLAG",I2)))</formula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1">
    <cfRule type="containsText" dxfId="4" priority="1" operator="containsText" text="FLAG">
      <formula>NOT(ISERROR(SEARCH("FLAG",I41)))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80</v>
      </c>
      <c r="D1" s="3" t="s">
        <v>87</v>
      </c>
      <c r="E1" s="3" t="s">
        <v>88</v>
      </c>
      <c r="F1" s="3" t="s">
        <v>84</v>
      </c>
      <c r="G1" s="3" t="s">
        <v>2</v>
      </c>
      <c r="H1" s="3" t="s">
        <v>3</v>
      </c>
      <c r="I1" s="3" t="s">
        <v>79</v>
      </c>
    </row>
    <row r="2" spans="1:9" x14ac:dyDescent="0.2">
      <c r="A2" t="s">
        <v>66</v>
      </c>
      <c r="B2" t="s">
        <v>66</v>
      </c>
      <c r="C2" t="s">
        <v>81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77</v>
      </c>
      <c r="B3" t="s">
        <v>77</v>
      </c>
      <c r="C3" t="s">
        <v>81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67</v>
      </c>
      <c r="B4" t="s">
        <v>67</v>
      </c>
      <c r="C4" t="s">
        <v>81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68</v>
      </c>
      <c r="B5" t="s">
        <v>68</v>
      </c>
      <c r="C5" t="s">
        <v>81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69</v>
      </c>
      <c r="B6" t="s">
        <v>69</v>
      </c>
      <c r="C6" t="s">
        <v>81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70</v>
      </c>
      <c r="B7" t="s">
        <v>70</v>
      </c>
      <c r="C7" t="s">
        <v>81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71</v>
      </c>
      <c r="B8" t="s">
        <v>71</v>
      </c>
      <c r="C8" t="s">
        <v>81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72</v>
      </c>
      <c r="B9" t="s">
        <v>72</v>
      </c>
      <c r="C9" t="s">
        <v>81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73</v>
      </c>
      <c r="B10" t="s">
        <v>73</v>
      </c>
      <c r="C10" t="s">
        <v>81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74</v>
      </c>
      <c r="B11" t="s">
        <v>74</v>
      </c>
      <c r="C11" t="s">
        <v>81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78</v>
      </c>
      <c r="B12" t="s">
        <v>78</v>
      </c>
      <c r="C12" t="s">
        <v>81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75</v>
      </c>
      <c r="B13" t="s">
        <v>75</v>
      </c>
      <c r="C13" t="s">
        <v>81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76</v>
      </c>
      <c r="B14" t="s">
        <v>76</v>
      </c>
      <c r="C14" t="s">
        <v>81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54</v>
      </c>
      <c r="B15" t="s">
        <v>54</v>
      </c>
      <c r="C15" t="s">
        <v>81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77</v>
      </c>
      <c r="B16" t="s">
        <v>77</v>
      </c>
      <c r="C16" t="s">
        <v>81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78</v>
      </c>
      <c r="B17" t="s">
        <v>78</v>
      </c>
      <c r="C17" t="s">
        <v>81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81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53</v>
      </c>
      <c r="B19" t="s">
        <v>53</v>
      </c>
      <c r="C19" t="s">
        <v>81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48</v>
      </c>
      <c r="B20" t="s">
        <v>48</v>
      </c>
      <c r="C20" t="s">
        <v>81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49</v>
      </c>
      <c r="B21" t="s">
        <v>49</v>
      </c>
      <c r="C21" t="s">
        <v>81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82</v>
      </c>
      <c r="D22" t="s">
        <v>8</v>
      </c>
      <c r="E22" t="s">
        <v>89</v>
      </c>
      <c r="F22" t="s">
        <v>85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59</v>
      </c>
      <c r="B23" t="s">
        <v>60</v>
      </c>
      <c r="C23" t="s">
        <v>83</v>
      </c>
      <c r="D23" t="s">
        <v>56</v>
      </c>
      <c r="E23" t="s">
        <v>56</v>
      </c>
      <c r="F23" s="4" t="s">
        <v>86</v>
      </c>
      <c r="G23" t="s">
        <v>56</v>
      </c>
      <c r="H23" t="s">
        <v>4</v>
      </c>
      <c r="I23" t="str">
        <f>IF(A23&lt;&gt;B23,"FLAG","")</f>
        <v>FLAG</v>
      </c>
    </row>
    <row r="24" spans="1:9" x14ac:dyDescent="0.2">
      <c r="A24" t="s">
        <v>64</v>
      </c>
      <c r="B24" t="s">
        <v>64</v>
      </c>
      <c r="C24" t="s">
        <v>83</v>
      </c>
      <c r="D24" t="s">
        <v>91</v>
      </c>
      <c r="E24" t="s">
        <v>91</v>
      </c>
      <c r="F24" s="4" t="s">
        <v>86</v>
      </c>
      <c r="G24" t="s">
        <v>56</v>
      </c>
      <c r="H24" t="s">
        <v>4</v>
      </c>
      <c r="I24" t="str">
        <f>IF(A24&lt;&gt;B24,"FLAG","")</f>
        <v/>
      </c>
    </row>
    <row r="25" spans="1:9" x14ac:dyDescent="0.2">
      <c r="A25" t="s">
        <v>65</v>
      </c>
      <c r="B25" t="s">
        <v>65</v>
      </c>
      <c r="C25" t="s">
        <v>83</v>
      </c>
      <c r="D25" t="s">
        <v>91</v>
      </c>
      <c r="E25" t="s">
        <v>91</v>
      </c>
      <c r="F25" s="4" t="s">
        <v>86</v>
      </c>
      <c r="G25" t="s">
        <v>56</v>
      </c>
      <c r="H25" t="s">
        <v>4</v>
      </c>
      <c r="I25" t="str">
        <f>IF(A25&lt;&gt;B25,"FLAG","")</f>
        <v/>
      </c>
    </row>
    <row r="26" spans="1:9" x14ac:dyDescent="0.2">
      <c r="A26" s="5" t="s">
        <v>55</v>
      </c>
      <c r="B26" s="5" t="s">
        <v>55</v>
      </c>
      <c r="C26" s="5" t="s">
        <v>96</v>
      </c>
      <c r="D26" s="5" t="s">
        <v>108</v>
      </c>
      <c r="E26" s="5" t="s">
        <v>57</v>
      </c>
      <c r="F26" s="6" t="s">
        <v>86</v>
      </c>
      <c r="G26" s="5" t="s">
        <v>56</v>
      </c>
      <c r="H26" s="5" t="s">
        <v>4</v>
      </c>
      <c r="I26" t="str">
        <f>IF(A26&lt;&gt;B26,"FLAG","")</f>
        <v/>
      </c>
    </row>
    <row r="27" spans="1:9" x14ac:dyDescent="0.2">
      <c r="A27" s="5" t="s">
        <v>58</v>
      </c>
      <c r="B27" s="5" t="s">
        <v>58</v>
      </c>
      <c r="C27" s="5" t="s">
        <v>96</v>
      </c>
      <c r="D27" s="5" t="s">
        <v>108</v>
      </c>
      <c r="E27" s="5" t="s">
        <v>57</v>
      </c>
      <c r="F27" s="6" t="s">
        <v>86</v>
      </c>
      <c r="G27" s="5" t="s">
        <v>56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2026-09-29T15:56:07Z</dcterms:modified>
</cp:coreProperties>
</file>