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ob/Projects/erv/locus-level/ERVdb-HomoSapiens/tabular/reference/sublineage/"/>
    </mc:Choice>
  </mc:AlternateContent>
  <xr:revisionPtr revIDLastSave="0" documentId="13_ncr:1_{B2D1447B-9273-664F-985A-74887C1564E9}" xr6:coauthVersionLast="45" xr6:coauthVersionMax="45" xr10:uidLastSave="{00000000-0000-0000-0000-000000000000}"/>
  <bookViews>
    <workbookView xWindow="6940" yWindow="500" windowWidth="21060" windowHeight="16940" xr2:uid="{00000000-000D-0000-FFFF-FFFF00000000}"/>
  </bookViews>
  <sheets>
    <sheet name="ltr_lineage_table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27" i="2" l="1"/>
  <c r="I26" i="2"/>
  <c r="I25" i="2" l="1"/>
  <c r="I24" i="2"/>
  <c r="I23" i="2" l="1"/>
  <c r="I22" i="2" l="1" a="1"/>
  <c r="I22" i="2" s="1"/>
  <c r="I21" i="2"/>
  <c r="I20" i="2"/>
  <c r="I19" i="2"/>
  <c r="I18" i="2"/>
  <c r="I15" i="2"/>
  <c r="I14" i="2"/>
  <c r="I13" i="2"/>
  <c r="I12" i="2"/>
  <c r="I11" i="2"/>
  <c r="I10" i="2"/>
  <c r="I9" i="2"/>
  <c r="I8" i="2"/>
  <c r="I7" i="2"/>
  <c r="I6" i="2"/>
  <c r="I5" i="2"/>
  <c r="I4" i="2"/>
  <c r="I3" i="2"/>
  <c r="I2" i="2"/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<sst xmlns="http://schemas.openxmlformats.org/spreadsheetml/2006/main" count="418" uniqueCount="86">
  <si>
    <t>LTR_name</t>
  </si>
  <si>
    <t>original_name</t>
  </si>
  <si>
    <t>phylogeny_group</t>
  </si>
  <si>
    <t>phylogeny_subgroup</t>
  </si>
  <si>
    <t>NA</t>
  </si>
  <si>
    <t>LTR26E</t>
  </si>
  <si>
    <t>Rho</t>
  </si>
  <si>
    <t>LTR58</t>
  </si>
  <si>
    <t>ERV-31</t>
  </si>
  <si>
    <t>Zeta</t>
  </si>
  <si>
    <t>MER34A</t>
  </si>
  <si>
    <t>MER34A1</t>
  </si>
  <si>
    <t>LTR19B</t>
  </si>
  <si>
    <t>HUERS-P1</t>
  </si>
  <si>
    <t>LTR19C</t>
  </si>
  <si>
    <t>LTR73</t>
  </si>
  <si>
    <t>LTR8</t>
  </si>
  <si>
    <t>LTR8A</t>
  </si>
  <si>
    <t>LTR8B</t>
  </si>
  <si>
    <t>LTR1</t>
  </si>
  <si>
    <t>HUERS-P2</t>
  </si>
  <si>
    <t>LTR1A2</t>
  </si>
  <si>
    <t>LTR1B</t>
  </si>
  <si>
    <t>LTR1B0</t>
  </si>
  <si>
    <t>LTR1B1</t>
  </si>
  <si>
    <t>LTR1C</t>
  </si>
  <si>
    <t>LTR1C1</t>
  </si>
  <si>
    <t>LTR1D</t>
  </si>
  <si>
    <t>LTR1D1</t>
  </si>
  <si>
    <t>LTR1E</t>
  </si>
  <si>
    <t>LTR1F</t>
  </si>
  <si>
    <t>LTR1F1</t>
  </si>
  <si>
    <t>LTR1F2</t>
  </si>
  <si>
    <t>LTR28</t>
  </si>
  <si>
    <t>LTR28B</t>
  </si>
  <si>
    <t>LTR28C</t>
  </si>
  <si>
    <t>LTR60</t>
  </si>
  <si>
    <t>LTR85b</t>
  </si>
  <si>
    <t>MLT2B2</t>
  </si>
  <si>
    <t>Lambda</t>
  </si>
  <si>
    <t>ERV-L</t>
  </si>
  <si>
    <t>MLT2B4</t>
  </si>
  <si>
    <t>ERV-Lb4</t>
  </si>
  <si>
    <t>MLT2E</t>
  </si>
  <si>
    <t>MLT2C2</t>
  </si>
  <si>
    <t>MLT2C1</t>
  </si>
  <si>
    <t>LTR53</t>
  </si>
  <si>
    <t>LTR53B</t>
  </si>
  <si>
    <t>LTR24C</t>
  </si>
  <si>
    <t>LTR33B</t>
  </si>
  <si>
    <t>LTR33C</t>
  </si>
  <si>
    <t>LTR41</t>
  </si>
  <si>
    <t>LTR41B</t>
  </si>
  <si>
    <t>LTR45C</t>
  </si>
  <si>
    <t>LTR56</t>
  </si>
  <si>
    <t>LTR64</t>
  </si>
  <si>
    <t>MER49</t>
  </si>
  <si>
    <t>MER72B</t>
  </si>
  <si>
    <t>MER77B</t>
  </si>
  <si>
    <t>LTR32</t>
  </si>
  <si>
    <t>MER54A</t>
  </si>
  <si>
    <t>flag</t>
  </si>
  <si>
    <t>assoc_category</t>
  </si>
  <si>
    <t>solo</t>
  </si>
  <si>
    <t>erv_1</t>
  </si>
  <si>
    <t>erv_3</t>
  </si>
  <si>
    <t>linked_element_status</t>
  </si>
  <si>
    <t>nk</t>
  </si>
  <si>
    <t>sublineage</t>
  </si>
  <si>
    <t>original_linked_element_name</t>
  </si>
  <si>
    <t>linked_element_name</t>
  </si>
  <si>
    <t>HERV-31</t>
  </si>
  <si>
    <t>LTR-53</t>
  </si>
  <si>
    <t>linked_lineage_id</t>
  </si>
  <si>
    <t>linked_lineage_name</t>
  </si>
  <si>
    <t>clade</t>
  </si>
  <si>
    <t>I</t>
  </si>
  <si>
    <t>III</t>
  </si>
  <si>
    <t>ERV-1.Zeta.W9P.P.1</t>
  </si>
  <si>
    <t>ERV-1.Zeta.W9P.P.2</t>
  </si>
  <si>
    <t>ERV-3.Lambda.L</t>
  </si>
  <si>
    <t>ERV-3.Lambda.Lb4</t>
  </si>
  <si>
    <t>HARLEQUIN_LTR</t>
  </si>
  <si>
    <t>ERV-1.Eta.E.HQ</t>
  </si>
  <si>
    <t>HARLEQUIN</t>
  </si>
  <si>
    <t>Eta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</si>
</sst>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rgb="FF000000"/>
      <name val="Calibri"/>
      <family val="2"/>
      <scheme val="minor"/>
    </font>
    <font>
      <sz val="8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">
    <xf numFmtId="0" fontId="0" fillId="0" borderId="0" xfId="0"/>
    <xf numFmtId="0" fontId="0" fillId="34" borderId="0" xfId="0" applyFill="1"/>
    <xf numFmtId="0" fontId="0" fillId="35" borderId="0" xfId="0" applyFill="1"/>
    <xf numFmtId="0" fontId="16" fillId="33" borderId="0" xfId="0" applyFont="1" applyFill="1"/>
    <xf numFmtId="0" fontId="18" fillId="0" borderId="0" xfId="0" applyFont="1"/>
    <xf numFmtId="0" fontId="0" fillId="36" borderId="0" xfId="0" applyFill="1"/>
    <xf numFmtId="0" fontId="18" fillId="36" borderId="0" xfId="0" applyFont="1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5"/>
  <sheetViews>
    <sheetView tabSelected="1" workbookViewId="0">
      <selection activeCell="D13" sqref="D13"/>
    </sheetView>
  </sheetViews>
  <sheetFormatPr baseColWidth="10" defaultRowHeight="16" x14ac:dyDescent="0.2"/>
  <cols>
    <col min="1" max="1" width="21.6640625" customWidth="1"/>
    <col min="2" max="2" width="14.6640625" customWidth="1"/>
    <col min="3" max="3" width="13.83203125" customWidth="1"/>
    <col min="4" max="4" width="25.83203125" customWidth="1"/>
    <col min="5" max="6" width="19.6640625" customWidth="1"/>
    <col min="7" max="7" width="12.1640625" customWidth="1"/>
    <col min="8" max="8" width="20.83203125" customWidth="1"/>
  </cols>
  <sheetData>
    <row r="1" spans="1:9" x14ac:dyDescent="0.2">
      <c r="A1" s="3" t="s">
        <v>0</v>
      </c>
      <c r="B1" s="3" t="s">
        <v>1</v>
      </c>
      <c r="C1" s="3" t="s">
        <v>75</v>
      </c>
      <c r="D1" s="3" t="s">
        <v>73</v>
      </c>
      <c r="E1" s="3" t="s">
        <v>74</v>
      </c>
      <c r="F1" s="3" t="s">
        <v>66</v>
      </c>
      <c r="G1" s="3" t="s">
        <v>2</v>
      </c>
      <c r="H1" s="3" t="s">
        <v>3</v>
      </c>
      <c r="I1" s="3" t="s">
        <v>61</v>
      </c>
    </row>
    <row r="2" spans="1:9" x14ac:dyDescent="0.2">
      <c r="A2" s="5" t="s">
        <v>82</v>
      </c>
      <c r="B2" s="5" t="s">
        <v>82</v>
      </c>
      <c r="C2" s="5" t="s">
        <v>76</v>
      </c>
      <c r="D2" s="5" t="s">
        <v>83</v>
      </c>
      <c r="E2" s="5" t="s">
        <v>84</v>
      </c>
      <c r="F2" s="6" t="s">
        <v>68</v>
      </c>
      <c r="G2" s="5" t="s">
        <v>85</v>
      </c>
      <c r="H2" s="5" t="s">
        <v>4</v>
      </c>
    </row>
    <row r="3" spans="1:9" x14ac:dyDescent="0.2">
      <c r="A3" s="5" t="s">
        <v>12</v>
      </c>
      <c r="B3" s="5" t="s">
        <v>12</v>
      </c>
      <c r="C3" s="5" t="s">
        <v>76</v>
      </c>
      <c r="D3" s="5" t="s">
        <v>78</v>
      </c>
      <c r="E3" s="5" t="s">
        <v>13</v>
      </c>
      <c r="F3" s="6" t="s">
        <v>68</v>
      </c>
      <c r="G3" s="5" t="s">
        <v>9</v>
      </c>
      <c r="H3" s="5" t="s">
        <v>4</v>
      </c>
      <c r="I3" t="str">
        <f t="shared" ref="I3:I25" si="0">IF(A3&lt;&gt;B3,"FLAG","")</f>
        <v/>
      </c>
    </row>
    <row r="4" spans="1:9" x14ac:dyDescent="0.2">
      <c r="A4" s="5" t="s">
        <v>14</v>
      </c>
      <c r="B4" s="5" t="s">
        <v>14</v>
      </c>
      <c r="C4" s="5" t="s">
        <v>76</v>
      </c>
      <c r="D4" s="5" t="s">
        <v>78</v>
      </c>
      <c r="E4" s="5" t="s">
        <v>13</v>
      </c>
      <c r="F4" s="6" t="s">
        <v>68</v>
      </c>
      <c r="G4" s="5" t="s">
        <v>9</v>
      </c>
      <c r="H4" s="5" t="s">
        <v>4</v>
      </c>
      <c r="I4" t="str">
        <f t="shared" si="0"/>
        <v/>
      </c>
    </row>
    <row r="5" spans="1:9" x14ac:dyDescent="0.2">
      <c r="A5" s="5" t="s">
        <v>15</v>
      </c>
      <c r="B5" s="5" t="s">
        <v>15</v>
      </c>
      <c r="C5" s="5" t="s">
        <v>76</v>
      </c>
      <c r="D5" s="5" t="s">
        <v>78</v>
      </c>
      <c r="E5" s="5" t="s">
        <v>13</v>
      </c>
      <c r="F5" s="6" t="s">
        <v>68</v>
      </c>
      <c r="G5" s="5" t="s">
        <v>9</v>
      </c>
      <c r="H5" s="5" t="s">
        <v>4</v>
      </c>
      <c r="I5" t="str">
        <f t="shared" si="0"/>
        <v/>
      </c>
    </row>
    <row r="6" spans="1:9" x14ac:dyDescent="0.2">
      <c r="A6" s="5" t="s">
        <v>16</v>
      </c>
      <c r="B6" s="5" t="s">
        <v>16</v>
      </c>
      <c r="C6" s="5" t="s">
        <v>76</v>
      </c>
      <c r="D6" s="5" t="s">
        <v>78</v>
      </c>
      <c r="E6" s="5" t="s">
        <v>13</v>
      </c>
      <c r="F6" s="6" t="s">
        <v>68</v>
      </c>
      <c r="G6" s="5" t="s">
        <v>9</v>
      </c>
      <c r="H6" s="5" t="s">
        <v>4</v>
      </c>
      <c r="I6" t="str">
        <f t="shared" si="0"/>
        <v/>
      </c>
    </row>
    <row r="7" spans="1:9" x14ac:dyDescent="0.2">
      <c r="A7" s="5" t="s">
        <v>17</v>
      </c>
      <c r="B7" s="5" t="s">
        <v>17</v>
      </c>
      <c r="C7" s="5" t="s">
        <v>76</v>
      </c>
      <c r="D7" s="5" t="s">
        <v>78</v>
      </c>
      <c r="E7" s="5" t="s">
        <v>13</v>
      </c>
      <c r="F7" s="6" t="s">
        <v>68</v>
      </c>
      <c r="G7" s="5" t="s">
        <v>9</v>
      </c>
      <c r="H7" s="5" t="s">
        <v>4</v>
      </c>
      <c r="I7" t="str">
        <f t="shared" si="0"/>
        <v/>
      </c>
    </row>
    <row r="8" spans="1:9" x14ac:dyDescent="0.2">
      <c r="A8" s="5" t="s">
        <v>18</v>
      </c>
      <c r="B8" s="5" t="s">
        <v>18</v>
      </c>
      <c r="C8" s="5" t="s">
        <v>76</v>
      </c>
      <c r="D8" s="5" t="s">
        <v>78</v>
      </c>
      <c r="E8" s="5" t="s">
        <v>13</v>
      </c>
      <c r="F8" s="6" t="s">
        <v>68</v>
      </c>
      <c r="G8" s="5" t="s">
        <v>9</v>
      </c>
      <c r="H8" s="5" t="s">
        <v>4</v>
      </c>
      <c r="I8" t="str">
        <f t="shared" si="0"/>
        <v/>
      </c>
    </row>
    <row r="9" spans="1:9" x14ac:dyDescent="0.2">
      <c r="A9" s="5" t="s">
        <v>19</v>
      </c>
      <c r="B9" s="5" t="s">
        <v>19</v>
      </c>
      <c r="C9" s="5" t="s">
        <v>76</v>
      </c>
      <c r="D9" s="5" t="s">
        <v>79</v>
      </c>
      <c r="E9" s="5" t="s">
        <v>20</v>
      </c>
      <c r="F9" s="6" t="s">
        <v>68</v>
      </c>
      <c r="G9" s="5" t="s">
        <v>9</v>
      </c>
      <c r="H9" s="5" t="s">
        <v>4</v>
      </c>
      <c r="I9" t="str">
        <f t="shared" si="0"/>
        <v/>
      </c>
    </row>
    <row r="10" spans="1:9" x14ac:dyDescent="0.2">
      <c r="A10" s="5" t="s">
        <v>21</v>
      </c>
      <c r="B10" s="5" t="s">
        <v>21</v>
      </c>
      <c r="C10" s="5" t="s">
        <v>76</v>
      </c>
      <c r="D10" s="5" t="s">
        <v>79</v>
      </c>
      <c r="E10" s="5" t="s">
        <v>20</v>
      </c>
      <c r="F10" s="6" t="s">
        <v>68</v>
      </c>
      <c r="G10" s="5" t="s">
        <v>9</v>
      </c>
      <c r="H10" s="5" t="s">
        <v>4</v>
      </c>
      <c r="I10" t="str">
        <f t="shared" si="0"/>
        <v/>
      </c>
    </row>
    <row r="11" spans="1:9" x14ac:dyDescent="0.2">
      <c r="A11" s="5" t="s">
        <v>22</v>
      </c>
      <c r="B11" s="5" t="s">
        <v>22</v>
      </c>
      <c r="C11" s="5" t="s">
        <v>76</v>
      </c>
      <c r="D11" s="5" t="s">
        <v>79</v>
      </c>
      <c r="E11" s="5" t="s">
        <v>20</v>
      </c>
      <c r="F11" s="6" t="s">
        <v>68</v>
      </c>
      <c r="G11" s="5" t="s">
        <v>9</v>
      </c>
      <c r="H11" s="5" t="s">
        <v>4</v>
      </c>
      <c r="I11" t="str">
        <f t="shared" si="0"/>
        <v/>
      </c>
    </row>
    <row r="12" spans="1:9" x14ac:dyDescent="0.2">
      <c r="A12" s="5" t="s">
        <v>23</v>
      </c>
      <c r="B12" s="5" t="s">
        <v>23</v>
      </c>
      <c r="C12" s="5" t="s">
        <v>76</v>
      </c>
      <c r="D12" s="5" t="s">
        <v>79</v>
      </c>
      <c r="E12" s="5" t="s">
        <v>20</v>
      </c>
      <c r="F12" s="6" t="s">
        <v>68</v>
      </c>
      <c r="G12" s="5" t="s">
        <v>9</v>
      </c>
      <c r="H12" s="5" t="s">
        <v>4</v>
      </c>
      <c r="I12" t="str">
        <f t="shared" si="0"/>
        <v/>
      </c>
    </row>
    <row r="13" spans="1:9" x14ac:dyDescent="0.2">
      <c r="A13" s="5" t="s">
        <v>24</v>
      </c>
      <c r="B13" s="5" t="s">
        <v>24</v>
      </c>
      <c r="C13" s="5" t="s">
        <v>76</v>
      </c>
      <c r="D13" s="5" t="s">
        <v>79</v>
      </c>
      <c r="E13" s="5" t="s">
        <v>20</v>
      </c>
      <c r="F13" s="6" t="s">
        <v>68</v>
      </c>
      <c r="G13" s="5" t="s">
        <v>9</v>
      </c>
      <c r="H13" s="5" t="s">
        <v>4</v>
      </c>
      <c r="I13" t="str">
        <f t="shared" si="0"/>
        <v/>
      </c>
    </row>
    <row r="14" spans="1:9" x14ac:dyDescent="0.2">
      <c r="A14" s="5" t="s">
        <v>25</v>
      </c>
      <c r="B14" s="5" t="s">
        <v>25</v>
      </c>
      <c r="C14" s="5" t="s">
        <v>76</v>
      </c>
      <c r="D14" s="5" t="s">
        <v>79</v>
      </c>
      <c r="E14" s="5" t="s">
        <v>20</v>
      </c>
      <c r="F14" s="6" t="s">
        <v>68</v>
      </c>
      <c r="G14" s="5" t="s">
        <v>9</v>
      </c>
      <c r="H14" s="5" t="s">
        <v>4</v>
      </c>
      <c r="I14" t="str">
        <f t="shared" si="0"/>
        <v/>
      </c>
    </row>
    <row r="15" spans="1:9" x14ac:dyDescent="0.2">
      <c r="A15" s="5" t="s">
        <v>26</v>
      </c>
      <c r="B15" s="5" t="s">
        <v>26</v>
      </c>
      <c r="C15" s="5" t="s">
        <v>76</v>
      </c>
      <c r="D15" s="5" t="s">
        <v>79</v>
      </c>
      <c r="E15" s="5" t="s">
        <v>20</v>
      </c>
      <c r="F15" s="6" t="s">
        <v>68</v>
      </c>
      <c r="G15" s="5" t="s">
        <v>9</v>
      </c>
      <c r="H15" s="5" t="s">
        <v>4</v>
      </c>
      <c r="I15" t="str">
        <f t="shared" si="0"/>
        <v/>
      </c>
    </row>
    <row r="16" spans="1:9" x14ac:dyDescent="0.2">
      <c r="A16" s="5" t="s">
        <v>27</v>
      </c>
      <c r="B16" s="5" t="s">
        <v>27</v>
      </c>
      <c r="C16" s="5" t="s">
        <v>76</v>
      </c>
      <c r="D16" s="5" t="s">
        <v>79</v>
      </c>
      <c r="E16" s="5" t="s">
        <v>20</v>
      </c>
      <c r="F16" s="6" t="s">
        <v>68</v>
      </c>
      <c r="G16" s="5" t="s">
        <v>9</v>
      </c>
      <c r="H16" s="5" t="s">
        <v>4</v>
      </c>
      <c r="I16" t="str">
        <f t="shared" si="0"/>
        <v/>
      </c>
    </row>
    <row r="17" spans="1:9" x14ac:dyDescent="0.2">
      <c r="A17" s="5" t="s">
        <v>28</v>
      </c>
      <c r="B17" s="5" t="s">
        <v>28</v>
      </c>
      <c r="C17" s="5" t="s">
        <v>76</v>
      </c>
      <c r="D17" s="5" t="s">
        <v>79</v>
      </c>
      <c r="E17" s="5" t="s">
        <v>20</v>
      </c>
      <c r="F17" s="6" t="s">
        <v>68</v>
      </c>
      <c r="G17" s="5" t="s">
        <v>9</v>
      </c>
      <c r="H17" s="5" t="s">
        <v>4</v>
      </c>
      <c r="I17" t="str">
        <f t="shared" si="0"/>
        <v/>
      </c>
    </row>
    <row r="18" spans="1:9" x14ac:dyDescent="0.2">
      <c r="A18" s="5" t="s">
        <v>29</v>
      </c>
      <c r="B18" s="5" t="s">
        <v>29</v>
      </c>
      <c r="C18" s="5" t="s">
        <v>76</v>
      </c>
      <c r="D18" s="5" t="s">
        <v>79</v>
      </c>
      <c r="E18" s="5" t="s">
        <v>20</v>
      </c>
      <c r="F18" s="6" t="s">
        <v>68</v>
      </c>
      <c r="G18" s="5" t="s">
        <v>9</v>
      </c>
      <c r="H18" s="5" t="s">
        <v>4</v>
      </c>
      <c r="I18" t="str">
        <f t="shared" si="0"/>
        <v/>
      </c>
    </row>
    <row r="19" spans="1:9" x14ac:dyDescent="0.2">
      <c r="A19" s="5" t="s">
        <v>30</v>
      </c>
      <c r="B19" s="5" t="s">
        <v>30</v>
      </c>
      <c r="C19" s="5" t="s">
        <v>76</v>
      </c>
      <c r="D19" s="5" t="s">
        <v>79</v>
      </c>
      <c r="E19" s="5" t="s">
        <v>20</v>
      </c>
      <c r="F19" s="6" t="s">
        <v>68</v>
      </c>
      <c r="G19" s="5" t="s">
        <v>9</v>
      </c>
      <c r="H19" s="5" t="s">
        <v>4</v>
      </c>
      <c r="I19" t="str">
        <f t="shared" si="0"/>
        <v/>
      </c>
    </row>
    <row r="20" spans="1:9" x14ac:dyDescent="0.2">
      <c r="A20" s="5" t="s">
        <v>31</v>
      </c>
      <c r="B20" s="5" t="s">
        <v>31</v>
      </c>
      <c r="C20" s="5" t="s">
        <v>76</v>
      </c>
      <c r="D20" s="5" t="s">
        <v>79</v>
      </c>
      <c r="E20" s="5" t="s">
        <v>20</v>
      </c>
      <c r="F20" s="6" t="s">
        <v>68</v>
      </c>
      <c r="G20" s="5" t="s">
        <v>9</v>
      </c>
      <c r="H20" s="5" t="s">
        <v>4</v>
      </c>
      <c r="I20" t="str">
        <f t="shared" si="0"/>
        <v/>
      </c>
    </row>
    <row r="21" spans="1:9" x14ac:dyDescent="0.2">
      <c r="A21" s="5" t="s">
        <v>32</v>
      </c>
      <c r="B21" s="5" t="s">
        <v>32</v>
      </c>
      <c r="C21" s="5" t="s">
        <v>76</v>
      </c>
      <c r="D21" s="5" t="s">
        <v>79</v>
      </c>
      <c r="E21" s="5" t="s">
        <v>20</v>
      </c>
      <c r="F21" s="6" t="s">
        <v>68</v>
      </c>
      <c r="G21" s="5" t="s">
        <v>9</v>
      </c>
      <c r="H21" s="5" t="s">
        <v>4</v>
      </c>
      <c r="I21" t="str">
        <f t="shared" si="0"/>
        <v/>
      </c>
    </row>
    <row r="22" spans="1:9" x14ac:dyDescent="0.2">
      <c r="A22" s="5" t="s">
        <v>33</v>
      </c>
      <c r="B22" s="5" t="s">
        <v>33</v>
      </c>
      <c r="C22" s="5" t="s">
        <v>76</v>
      </c>
      <c r="D22" s="5" t="s">
        <v>79</v>
      </c>
      <c r="E22" s="5" t="s">
        <v>20</v>
      </c>
      <c r="F22" s="6" t="s">
        <v>68</v>
      </c>
      <c r="G22" s="5" t="s">
        <v>9</v>
      </c>
      <c r="H22" s="5" t="s">
        <v>4</v>
      </c>
      <c r="I22" t="str">
        <f t="shared" si="0"/>
        <v/>
      </c>
    </row>
    <row r="23" spans="1:9" x14ac:dyDescent="0.2">
      <c r="A23" s="5" t="s">
        <v>34</v>
      </c>
      <c r="B23" s="5" t="s">
        <v>34</v>
      </c>
      <c r="C23" s="5" t="s">
        <v>76</v>
      </c>
      <c r="D23" s="5" t="s">
        <v>79</v>
      </c>
      <c r="E23" s="5" t="s">
        <v>20</v>
      </c>
      <c r="F23" s="6" t="s">
        <v>68</v>
      </c>
      <c r="G23" s="5" t="s">
        <v>9</v>
      </c>
      <c r="H23" s="5" t="s">
        <v>4</v>
      </c>
      <c r="I23" t="str">
        <f t="shared" si="0"/>
        <v/>
      </c>
    </row>
    <row r="24" spans="1:9" x14ac:dyDescent="0.2">
      <c r="A24" s="5" t="s">
        <v>35</v>
      </c>
      <c r="B24" s="5" t="s">
        <v>35</v>
      </c>
      <c r="C24" s="5" t="s">
        <v>76</v>
      </c>
      <c r="D24" s="5" t="s">
        <v>79</v>
      </c>
      <c r="E24" s="5" t="s">
        <v>20</v>
      </c>
      <c r="F24" s="6" t="s">
        <v>68</v>
      </c>
      <c r="G24" s="5" t="s">
        <v>9</v>
      </c>
      <c r="H24" s="5" t="s">
        <v>4</v>
      </c>
      <c r="I24" t="str">
        <f t="shared" si="0"/>
        <v/>
      </c>
    </row>
    <row r="25" spans="1:9" x14ac:dyDescent="0.2">
      <c r="A25" s="5" t="s">
        <v>41</v>
      </c>
      <c r="B25" s="5" t="s">
        <v>41</v>
      </c>
      <c r="C25" s="5" t="s">
        <v>77</v>
      </c>
      <c r="D25" s="5" t="s">
        <v>81</v>
      </c>
      <c r="E25" s="5" t="s">
        <v>42</v>
      </c>
      <c r="F25" s="6" t="s">
        <v>68</v>
      </c>
      <c r="G25" s="5" t="s">
        <v>39</v>
      </c>
      <c r="H25" s="5" t="s">
        <v>4</v>
      </c>
      <c r="I25" t="str">
        <f t="shared" si="0"/>
        <v/>
      </c>
    </row>
  </sheetData>
  <sortState xmlns:xlrd2="http://schemas.microsoft.com/office/spreadsheetml/2017/richdata2" ref="A2:I25">
    <sortCondition ref="C2:C25"/>
    <sortCondition ref="G2:G25"/>
    <sortCondition ref="H2:H25"/>
  </sortState>
  <phoneticPr fontId="19" type="noConversion"/>
  <conditionalFormatting sqref="I2:I24">
    <cfRule type="containsText" dxfId="5" priority="51" operator="containsText" text="FLAG">
      <formula>NOT(ISERROR(SEARCH("FLAG",I2)))</formula>
    </cfRule>
    <cfRule type="colorScale" priority="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5">
    <cfRule type="containsText" dxfId="4" priority="1" operator="containsText" text="FLAG">
      <formula>NOT(ISERROR(SEARCH("FLAG",I25)))</formula>
    </cfRule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7E8D0-101B-584C-9021-A7CDF92F27AF}">
  <dimension ref="A1:I27"/>
  <sheetViews>
    <sheetView workbookViewId="0">
      <selection activeCell="I16" sqref="I16"/>
    </sheetView>
  </sheetViews>
  <sheetFormatPr baseColWidth="10" defaultRowHeight="16" x14ac:dyDescent="0.2"/>
  <sheetData>
    <row r="1" spans="1:9" x14ac:dyDescent="0.2">
      <c r="A1" s="3" t="s">
        <v>0</v>
      </c>
      <c r="B1" s="3" t="s">
        <v>1</v>
      </c>
      <c r="C1" s="3" t="s">
        <v>62</v>
      </c>
      <c r="D1" s="3" t="s">
        <v>69</v>
      </c>
      <c r="E1" s="3" t="s">
        <v>70</v>
      </c>
      <c r="F1" s="3" t="s">
        <v>66</v>
      </c>
      <c r="G1" s="3" t="s">
        <v>2</v>
      </c>
      <c r="H1" s="3" t="s">
        <v>3</v>
      </c>
      <c r="I1" s="3" t="s">
        <v>61</v>
      </c>
    </row>
    <row r="2" spans="1:9" x14ac:dyDescent="0.2">
      <c r="A2" t="s">
        <v>48</v>
      </c>
      <c r="B2" t="s">
        <v>48</v>
      </c>
      <c r="C2" t="s">
        <v>63</v>
      </c>
      <c r="D2" t="s">
        <v>4</v>
      </c>
      <c r="E2" t="s">
        <v>4</v>
      </c>
      <c r="F2" t="s">
        <v>4</v>
      </c>
      <c r="G2" t="s">
        <v>4</v>
      </c>
      <c r="H2" t="s">
        <v>4</v>
      </c>
      <c r="I2" t="str">
        <f t="shared" ref="I2:I15" si="0">IF(A2&lt;&gt;B2,"FLAG","")</f>
        <v/>
      </c>
    </row>
    <row r="3" spans="1:9" x14ac:dyDescent="0.2">
      <c r="A3" t="s">
        <v>59</v>
      </c>
      <c r="B3" t="s">
        <v>59</v>
      </c>
      <c r="C3" t="s">
        <v>63</v>
      </c>
      <c r="D3" t="s">
        <v>4</v>
      </c>
      <c r="E3" t="s">
        <v>4</v>
      </c>
      <c r="F3" t="s">
        <v>4</v>
      </c>
      <c r="G3" t="s">
        <v>4</v>
      </c>
      <c r="H3" t="s">
        <v>4</v>
      </c>
      <c r="I3" t="str">
        <f t="shared" si="0"/>
        <v/>
      </c>
    </row>
    <row r="4" spans="1:9" x14ac:dyDescent="0.2">
      <c r="A4" t="s">
        <v>49</v>
      </c>
      <c r="B4" t="s">
        <v>49</v>
      </c>
      <c r="C4" t="s">
        <v>63</v>
      </c>
      <c r="D4" t="s">
        <v>4</v>
      </c>
      <c r="E4" t="s">
        <v>4</v>
      </c>
      <c r="F4" t="s">
        <v>4</v>
      </c>
      <c r="G4" t="s">
        <v>4</v>
      </c>
      <c r="H4" t="s">
        <v>4</v>
      </c>
      <c r="I4" t="str">
        <f t="shared" si="0"/>
        <v/>
      </c>
    </row>
    <row r="5" spans="1:9" x14ac:dyDescent="0.2">
      <c r="A5" t="s">
        <v>50</v>
      </c>
      <c r="B5" t="s">
        <v>50</v>
      </c>
      <c r="C5" t="s">
        <v>63</v>
      </c>
      <c r="D5" t="s">
        <v>4</v>
      </c>
      <c r="E5" t="s">
        <v>4</v>
      </c>
      <c r="F5" t="s">
        <v>4</v>
      </c>
      <c r="G5" t="s">
        <v>4</v>
      </c>
      <c r="H5" t="s">
        <v>4</v>
      </c>
      <c r="I5" t="str">
        <f t="shared" si="0"/>
        <v/>
      </c>
    </row>
    <row r="6" spans="1:9" x14ac:dyDescent="0.2">
      <c r="A6" t="s">
        <v>51</v>
      </c>
      <c r="B6" t="s">
        <v>51</v>
      </c>
      <c r="C6" t="s">
        <v>63</v>
      </c>
      <c r="D6" t="s">
        <v>4</v>
      </c>
      <c r="E6" t="s">
        <v>4</v>
      </c>
      <c r="F6" t="s">
        <v>4</v>
      </c>
      <c r="G6" t="s">
        <v>4</v>
      </c>
      <c r="H6" t="s">
        <v>4</v>
      </c>
      <c r="I6" t="str">
        <f t="shared" si="0"/>
        <v/>
      </c>
    </row>
    <row r="7" spans="1:9" x14ac:dyDescent="0.2">
      <c r="A7" t="s">
        <v>52</v>
      </c>
      <c r="B7" t="s">
        <v>52</v>
      </c>
      <c r="C7" t="s">
        <v>63</v>
      </c>
      <c r="D7" t="s">
        <v>4</v>
      </c>
      <c r="E7" t="s">
        <v>4</v>
      </c>
      <c r="F7" t="s">
        <v>4</v>
      </c>
      <c r="G7" t="s">
        <v>4</v>
      </c>
      <c r="H7" t="s">
        <v>4</v>
      </c>
      <c r="I7" t="str">
        <f t="shared" si="0"/>
        <v/>
      </c>
    </row>
    <row r="8" spans="1:9" x14ac:dyDescent="0.2">
      <c r="A8" t="s">
        <v>53</v>
      </c>
      <c r="B8" t="s">
        <v>53</v>
      </c>
      <c r="C8" t="s">
        <v>63</v>
      </c>
      <c r="D8" t="s">
        <v>4</v>
      </c>
      <c r="E8" t="s">
        <v>4</v>
      </c>
      <c r="F8" t="s">
        <v>4</v>
      </c>
      <c r="G8" t="s">
        <v>4</v>
      </c>
      <c r="H8" t="s">
        <v>4</v>
      </c>
      <c r="I8" t="str">
        <f t="shared" si="0"/>
        <v/>
      </c>
    </row>
    <row r="9" spans="1:9" x14ac:dyDescent="0.2">
      <c r="A9" t="s">
        <v>54</v>
      </c>
      <c r="B9" t="s">
        <v>54</v>
      </c>
      <c r="C9" t="s">
        <v>63</v>
      </c>
      <c r="D9" t="s">
        <v>4</v>
      </c>
      <c r="E9" t="s">
        <v>4</v>
      </c>
      <c r="F9" t="s">
        <v>4</v>
      </c>
      <c r="G9" t="s">
        <v>4</v>
      </c>
      <c r="H9" t="s">
        <v>4</v>
      </c>
      <c r="I9" t="str">
        <f t="shared" si="0"/>
        <v/>
      </c>
    </row>
    <row r="10" spans="1:9" x14ac:dyDescent="0.2">
      <c r="A10" t="s">
        <v>55</v>
      </c>
      <c r="B10" t="s">
        <v>55</v>
      </c>
      <c r="C10" t="s">
        <v>63</v>
      </c>
      <c r="D10" t="s">
        <v>4</v>
      </c>
      <c r="E10" t="s">
        <v>4</v>
      </c>
      <c r="F10" t="s">
        <v>4</v>
      </c>
      <c r="G10" t="s">
        <v>4</v>
      </c>
      <c r="H10" t="s">
        <v>4</v>
      </c>
      <c r="I10" t="str">
        <f t="shared" si="0"/>
        <v/>
      </c>
    </row>
    <row r="11" spans="1:9" x14ac:dyDescent="0.2">
      <c r="A11" t="s">
        <v>56</v>
      </c>
      <c r="B11" t="s">
        <v>56</v>
      </c>
      <c r="C11" t="s">
        <v>63</v>
      </c>
      <c r="D11" t="s">
        <v>4</v>
      </c>
      <c r="E11" t="s">
        <v>4</v>
      </c>
      <c r="F11" t="s">
        <v>4</v>
      </c>
      <c r="G11" t="s">
        <v>4</v>
      </c>
      <c r="H11" t="s">
        <v>4</v>
      </c>
      <c r="I11" t="str">
        <f t="shared" si="0"/>
        <v/>
      </c>
    </row>
    <row r="12" spans="1:9" x14ac:dyDescent="0.2">
      <c r="A12" t="s">
        <v>60</v>
      </c>
      <c r="B12" t="s">
        <v>60</v>
      </c>
      <c r="C12" t="s">
        <v>63</v>
      </c>
      <c r="D12" t="s">
        <v>4</v>
      </c>
      <c r="E12" t="s">
        <v>4</v>
      </c>
      <c r="F12" t="s">
        <v>4</v>
      </c>
      <c r="G12" t="s">
        <v>4</v>
      </c>
      <c r="H12" t="s">
        <v>4</v>
      </c>
      <c r="I12" t="str">
        <f t="shared" si="0"/>
        <v/>
      </c>
    </row>
    <row r="13" spans="1:9" x14ac:dyDescent="0.2">
      <c r="A13" t="s">
        <v>57</v>
      </c>
      <c r="B13" t="s">
        <v>57</v>
      </c>
      <c r="C13" t="s">
        <v>63</v>
      </c>
      <c r="D13" t="s">
        <v>4</v>
      </c>
      <c r="E13" t="s">
        <v>4</v>
      </c>
      <c r="F13" t="s">
        <v>4</v>
      </c>
      <c r="G13" t="s">
        <v>4</v>
      </c>
      <c r="H13" t="s">
        <v>4</v>
      </c>
      <c r="I13" t="str">
        <f t="shared" si="0"/>
        <v/>
      </c>
    </row>
    <row r="14" spans="1:9" x14ac:dyDescent="0.2">
      <c r="A14" t="s">
        <v>58</v>
      </c>
      <c r="B14" t="s">
        <v>58</v>
      </c>
      <c r="C14" t="s">
        <v>63</v>
      </c>
      <c r="D14" t="s">
        <v>4</v>
      </c>
      <c r="E14" t="s">
        <v>4</v>
      </c>
      <c r="F14" t="s">
        <v>4</v>
      </c>
      <c r="G14" t="s">
        <v>4</v>
      </c>
      <c r="H14" t="s">
        <v>4</v>
      </c>
      <c r="I14" t="str">
        <f t="shared" si="0"/>
        <v/>
      </c>
    </row>
    <row r="15" spans="1:9" x14ac:dyDescent="0.2">
      <c r="A15" s="1" t="s">
        <v>37</v>
      </c>
      <c r="B15" t="s">
        <v>37</v>
      </c>
      <c r="C15" t="s">
        <v>63</v>
      </c>
      <c r="D15" t="s">
        <v>4</v>
      </c>
      <c r="E15" t="s">
        <v>4</v>
      </c>
      <c r="F15" t="s">
        <v>4</v>
      </c>
      <c r="G15" t="s">
        <v>4</v>
      </c>
      <c r="H15" t="s">
        <v>4</v>
      </c>
      <c r="I15" t="str">
        <f t="shared" si="0"/>
        <v/>
      </c>
    </row>
    <row r="16" spans="1:9" x14ac:dyDescent="0.2">
      <c r="A16" t="s">
        <v>59</v>
      </c>
      <c r="B16" t="s">
        <v>59</v>
      </c>
      <c r="C16" t="s">
        <v>63</v>
      </c>
      <c r="D16" t="s">
        <v>4</v>
      </c>
      <c r="E16" t="s">
        <v>4</v>
      </c>
      <c r="F16" t="s">
        <v>4</v>
      </c>
      <c r="G16" t="s">
        <v>4</v>
      </c>
      <c r="H16" t="s">
        <v>4</v>
      </c>
    </row>
    <row r="17" spans="1:9" x14ac:dyDescent="0.2">
      <c r="A17" t="s">
        <v>60</v>
      </c>
      <c r="B17" t="s">
        <v>60</v>
      </c>
      <c r="C17" t="s">
        <v>63</v>
      </c>
      <c r="D17" t="s">
        <v>4</v>
      </c>
      <c r="E17" t="s">
        <v>4</v>
      </c>
      <c r="F17" t="s">
        <v>4</v>
      </c>
      <c r="G17" t="s">
        <v>4</v>
      </c>
      <c r="H17" t="s">
        <v>4</v>
      </c>
    </row>
    <row r="18" spans="1:9" x14ac:dyDescent="0.2">
      <c r="A18" t="s">
        <v>5</v>
      </c>
      <c r="B18" t="s">
        <v>5</v>
      </c>
      <c r="C18" t="s">
        <v>63</v>
      </c>
      <c r="D18" t="s">
        <v>4</v>
      </c>
      <c r="E18" t="s">
        <v>4</v>
      </c>
      <c r="F18" t="s">
        <v>4</v>
      </c>
      <c r="G18" t="s">
        <v>4</v>
      </c>
      <c r="H18" t="s">
        <v>4</v>
      </c>
      <c r="I18" t="str">
        <f>IF(A18&lt;&gt;B18,"FLAG","")</f>
        <v/>
      </c>
    </row>
    <row r="19" spans="1:9" x14ac:dyDescent="0.2">
      <c r="A19" t="s">
        <v>36</v>
      </c>
      <c r="B19" t="s">
        <v>36</v>
      </c>
      <c r="C19" t="s">
        <v>63</v>
      </c>
      <c r="D19" t="s">
        <v>4</v>
      </c>
      <c r="E19" t="s">
        <v>4</v>
      </c>
      <c r="F19" t="s">
        <v>4</v>
      </c>
      <c r="G19" t="s">
        <v>4</v>
      </c>
      <c r="H19" t="s">
        <v>4</v>
      </c>
      <c r="I19" t="str">
        <f>IF(A19&lt;&gt;B19,"FLAG","")</f>
        <v/>
      </c>
    </row>
    <row r="20" spans="1:9" x14ac:dyDescent="0.2">
      <c r="A20" t="s">
        <v>10</v>
      </c>
      <c r="B20" t="s">
        <v>10</v>
      </c>
      <c r="C20" t="s">
        <v>63</v>
      </c>
      <c r="D20" t="s">
        <v>4</v>
      </c>
      <c r="E20" t="s">
        <v>4</v>
      </c>
      <c r="F20" t="s">
        <v>4</v>
      </c>
      <c r="G20" t="s">
        <v>4</v>
      </c>
      <c r="H20" t="s">
        <v>4</v>
      </c>
      <c r="I20" t="str">
        <f>IF(A20&lt;&gt;B20,"FLAG","")</f>
        <v/>
      </c>
    </row>
    <row r="21" spans="1:9" x14ac:dyDescent="0.2">
      <c r="A21" t="s">
        <v>11</v>
      </c>
      <c r="B21" t="s">
        <v>11</v>
      </c>
      <c r="C21" t="s">
        <v>63</v>
      </c>
      <c r="D21" t="s">
        <v>4</v>
      </c>
      <c r="E21" t="s">
        <v>4</v>
      </c>
      <c r="F21" t="s">
        <v>4</v>
      </c>
      <c r="G21" t="s">
        <v>4</v>
      </c>
      <c r="H21" t="s">
        <v>4</v>
      </c>
      <c r="I21" t="str">
        <f>IF(A21&lt;&gt;B21,"FLAG","")</f>
        <v/>
      </c>
    </row>
    <row r="22" spans="1:9" x14ac:dyDescent="0.2">
      <c r="A22" t="s">
        <v>7</v>
      </c>
      <c r="B22" t="s">
        <v>7</v>
      </c>
      <c r="C22" t="s">
        <v>64</v>
      </c>
      <c r="D22" t="s">
        <v>8</v>
      </c>
      <c r="E22" t="s">
        <v>71</v>
      </c>
      <c r="F22" t="s">
        <v>67</v>
      </c>
      <c r="G22" t="s">
        <v>6</v>
      </c>
      <c r="H22" t="s">
        <v>4</v>
      </c>
      <c r="I22" t="str" cm="1">
        <f t="array" ref="I22">IF(A22&lt;&gt;B22,Changed,"")</f>
        <v/>
      </c>
    </row>
    <row r="23" spans="1:9" x14ac:dyDescent="0.2">
      <c r="A23" s="2" t="s">
        <v>44</v>
      </c>
      <c r="B23" t="s">
        <v>45</v>
      </c>
      <c r="C23" t="s">
        <v>65</v>
      </c>
      <c r="D23" t="s">
        <v>39</v>
      </c>
      <c r="E23" t="s">
        <v>39</v>
      </c>
      <c r="F23" s="4" t="s">
        <v>68</v>
      </c>
      <c r="G23" t="s">
        <v>39</v>
      </c>
      <c r="H23" t="s">
        <v>4</v>
      </c>
      <c r="I23" t="str">
        <f>IF(A23&lt;&gt;B23,"FLAG","")</f>
        <v>FLAG</v>
      </c>
    </row>
    <row r="24" spans="1:9" x14ac:dyDescent="0.2">
      <c r="A24" t="s">
        <v>46</v>
      </c>
      <c r="B24" t="s">
        <v>46</v>
      </c>
      <c r="C24" t="s">
        <v>65</v>
      </c>
      <c r="D24" t="s">
        <v>72</v>
      </c>
      <c r="E24" t="s">
        <v>72</v>
      </c>
      <c r="F24" s="4" t="s">
        <v>68</v>
      </c>
      <c r="G24" t="s">
        <v>39</v>
      </c>
      <c r="H24" t="s">
        <v>4</v>
      </c>
      <c r="I24" t="str">
        <f>IF(A24&lt;&gt;B24,"FLAG","")</f>
        <v/>
      </c>
    </row>
    <row r="25" spans="1:9" x14ac:dyDescent="0.2">
      <c r="A25" t="s">
        <v>47</v>
      </c>
      <c r="B25" t="s">
        <v>47</v>
      </c>
      <c r="C25" t="s">
        <v>65</v>
      </c>
      <c r="D25" t="s">
        <v>72</v>
      </c>
      <c r="E25" t="s">
        <v>72</v>
      </c>
      <c r="F25" s="4" t="s">
        <v>68</v>
      </c>
      <c r="G25" t="s">
        <v>39</v>
      </c>
      <c r="H25" t="s">
        <v>4</v>
      </c>
      <c r="I25" t="str">
        <f>IF(A25&lt;&gt;B25,"FLAG","")</f>
        <v/>
      </c>
    </row>
    <row r="26" spans="1:9" x14ac:dyDescent="0.2">
      <c r="A26" s="5" t="s">
        <v>38</v>
      </c>
      <c r="B26" s="5" t="s">
        <v>38</v>
      </c>
      <c r="C26" s="5" t="s">
        <v>77</v>
      </c>
      <c r="D26" s="5" t="s">
        <v>80</v>
      </c>
      <c r="E26" s="5" t="s">
        <v>40</v>
      </c>
      <c r="F26" s="6" t="s">
        <v>68</v>
      </c>
      <c r="G26" s="5" t="s">
        <v>39</v>
      </c>
      <c r="H26" s="5" t="s">
        <v>4</v>
      </c>
      <c r="I26" t="str">
        <f>IF(A26&lt;&gt;B26,"FLAG","")</f>
        <v/>
      </c>
    </row>
    <row r="27" spans="1:9" x14ac:dyDescent="0.2">
      <c r="A27" s="5" t="s">
        <v>43</v>
      </c>
      <c r="B27" s="5" t="s">
        <v>43</v>
      </c>
      <c r="C27" s="5" t="s">
        <v>77</v>
      </c>
      <c r="D27" s="5" t="s">
        <v>80</v>
      </c>
      <c r="E27" s="5" t="s">
        <v>40</v>
      </c>
      <c r="F27" s="6" t="s">
        <v>68</v>
      </c>
      <c r="G27" s="5" t="s">
        <v>39</v>
      </c>
      <c r="H27" s="5" t="s">
        <v>4</v>
      </c>
      <c r="I27" t="str">
        <f>IF(A27&lt;&gt;B27,"FLAG","")</f>
        <v/>
      </c>
    </row>
  </sheetData>
  <conditionalFormatting sqref="I2:I22">
    <cfRule type="containsText" dxfId="3" priority="7" operator="containsText" text="FLAG">
      <formula>NOT(ISERROR(SEARCH("FLAG",I2)))</formula>
    </cfRule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3">
    <cfRule type="containsText" dxfId="2" priority="5" operator="containsText" text="FLAG">
      <formula>NOT(ISERROR(SEARCH("FLAG",I23)))</formula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4:I25">
    <cfRule type="containsText" dxfId="1" priority="3" operator="containsText" text="FLAG">
      <formula>NOT(ISERROR(SEARCH("FLAG",I24)))</formula>
    </cfRule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6:I27">
    <cfRule type="containsText" dxfId="0" priority="1" operator="containsText" text="FLAG">
      <formula>NOT(ISERROR(SEARCH("FLAG",I26)))</formula>
    </cfRule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ltr_lineage_table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 Gifford</dc:creator>
  <cp:lastModifiedBy>Rob Gifford</cp:lastModifiedBy>
  <dcterms:created xsi:type="dcterms:W3CDTF">2026-06-10T12:17:57Z</dcterms:created>
  <dcterms:modified xsi:type="dcterms:W3CDTF">2026-09-28T15:43:05Z</dcterms:modified>
</cp:coreProperties>
</file>