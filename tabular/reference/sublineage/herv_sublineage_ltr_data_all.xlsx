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8E718781-1669-9441-9C65-B3D6545FB97C}" xr6:coauthVersionLast="45" xr6:coauthVersionMax="45" xr10:uidLastSave="{00000000-0000-0000-0000-000000000000}"/>
  <bookViews>
    <workbookView xWindow="98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<sst xmlns="http://schemas.openxmlformats.org/spreadsheetml/2006/main" count="426" uniqueCount="88">
  <si>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</si>
  <si>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</si>
  <si>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</si>
  <si>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</si>
  <si>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</si>
  <si>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</si>
  <si>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</si>
  <si>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</si>
  <si>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</si>
  <si>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Zeta</t>
  </si>
  <si>
    <t>MER34A</t>
  </si>
  <si>
    <t>MER34A1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</si>
  <si>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</si>
  <si>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</si>
  <si>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</si>
  <si>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</si>
  <si>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</si>
  <si>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</si>
  <si>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</si>
  <si>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</si>
  <si>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</si>
  <si>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</si>
  <si>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</si>
  <si>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</si>
  <si>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</si>
  <si>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</si>
  <si>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</si>
  <si>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</si>
  <si>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</si>
  <si>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</si>
  <si>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</si>
  <si>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</si>
  <si>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</si>
  <si>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</si>
  <si>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</si>
  <si>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</si>
  <si>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</si>
  <si>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</si>
  <si>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</si>
  <si>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</si>
  <si>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</si>
  <si>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</si>
  <si>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</si>
  <si>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</si>
  <si>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MLT2C2</t>
  </si>
  <si>
    <t>MLT2C1</t>
  </si>
  <si>
    <t>MER74C</t>
  </si>
  <si>
    <t>HERVL74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</si>
  <si>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</si>
  <si>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</si>
  <si>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</si>
  <si>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</si>
  <si>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</si>
  <si>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</si>
  <si>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</si>
  <si>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</si>
  <si>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</si>
  <si>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</si>
  <si>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</si>
  <si>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</si>
  <si>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</si>
  <si>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</si>
  <si>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</si>
  <si>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</si>
  <si>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</si>
  <si>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</si>
  <si>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</si>
  <si>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</si>
  <si>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</si>
  <si>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</si>
  <si>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</si>
  <si>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</si>
  <si>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</si>
  <si>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</si>
  <si>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LTR-53</t>
  </si>
  <si>
    <t>linked_lineage_id</t>
  </si>
  <si>
    <t>linked_lineage_name</t>
  </si>
  <si>
    <t>clade</t>
  </si>
  <si>
    <t>I</t>
  </si>
  <si>
    <t>III</t>
  </si>
  <si>
    <t>ERV-1.Zeta.W9P.P.1</t>
  </si>
  <si>
    <t>ERV-1.Zeta.W9P.P.2</t>
  </si>
  <si>
    <t>ERV-3.Lambda.L</t>
  </si>
  <si>
    <t>ERV-3.Lambda.Lb4</t>
  </si>
  <si>
    <t>ERV-3.Lambda.74</t>
  </si>
  <si>
    <t>LTR47B2</t>
  </si>
  <si>
    <t>ERV-3.Lambda.47</t>
  </si>
  <si>
    <t>ERV-L47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</si>
</sst>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workbookViewId="0">
      <selection activeCell="C12" sqref="A1:I26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77</v>
      </c>
      <c r="D1" s="3" t="s">
        <v>75</v>
      </c>
      <c r="E1" s="3" t="s">
        <v>76</v>
      </c>
      <c r="F1" s="3" t="s">
        <v>68</v>
      </c>
      <c r="G1" s="3" t="s">
        <v>2</v>
      </c>
      <c r="H1" s="3" t="s">
        <v>3</v>
      </c>
      <c r="I1" s="3" t="s">
        <v>63</v>
      </c>
    </row>
    <row r="2" spans="1:9" x14ac:dyDescent="0.2">
      <c r="A2" s="5" t="s">
        <v>12</v>
      </c>
      <c r="B2" s="5" t="s">
        <v>12</v>
      </c>
      <c r="C2" s="5" t="s">
        <v>78</v>
      </c>
      <c r="D2" s="5" t="s">
        <v>80</v>
      </c>
      <c r="E2" s="5" t="s">
        <v>13</v>
      </c>
      <c r="F2" s="6" t="s">
        <v>70</v>
      </c>
      <c r="G2" s="5" t="s">
        <v>9</v>
      </c>
      <c r="H2" s="5" t="s">
        <v>4</v>
      </c>
      <c r="I2" t="str">
        <f t="shared" ref="I2:I23" si="0">IF(A2&lt;&gt;B2,"FLAG","")</f>
        <v/>
      </c>
    </row>
    <row r="3" spans="1:9" x14ac:dyDescent="0.2">
      <c r="A3" s="5" t="s">
        <v>14</v>
      </c>
      <c r="B3" s="5" t="s">
        <v>14</v>
      </c>
      <c r="C3" s="5" t="s">
        <v>78</v>
      </c>
      <c r="D3" s="5" t="s">
        <v>80</v>
      </c>
      <c r="E3" s="5" t="s">
        <v>13</v>
      </c>
      <c r="F3" s="6" t="s">
        <v>70</v>
      </c>
      <c r="G3" s="5" t="s">
        <v>9</v>
      </c>
      <c r="H3" s="5" t="s">
        <v>4</v>
      </c>
      <c r="I3" t="str">
        <f t="shared" si="0"/>
        <v/>
      </c>
    </row>
    <row r="4" spans="1:9" x14ac:dyDescent="0.2">
      <c r="A4" s="5" t="s">
        <v>15</v>
      </c>
      <c r="B4" s="5" t="s">
        <v>15</v>
      </c>
      <c r="C4" s="5" t="s">
        <v>78</v>
      </c>
      <c r="D4" s="5" t="s">
        <v>80</v>
      </c>
      <c r="E4" s="5" t="s">
        <v>13</v>
      </c>
      <c r="F4" s="6" t="s">
        <v>70</v>
      </c>
      <c r="G4" s="5" t="s">
        <v>9</v>
      </c>
      <c r="H4" s="5" t="s">
        <v>4</v>
      </c>
      <c r="I4" t="str">
        <f t="shared" si="0"/>
        <v/>
      </c>
    </row>
    <row r="5" spans="1:9" x14ac:dyDescent="0.2">
      <c r="A5" s="5" t="s">
        <v>16</v>
      </c>
      <c r="B5" s="5" t="s">
        <v>16</v>
      </c>
      <c r="C5" s="5" t="s">
        <v>78</v>
      </c>
      <c r="D5" s="5" t="s">
        <v>80</v>
      </c>
      <c r="E5" s="5" t="s">
        <v>13</v>
      </c>
      <c r="F5" s="6" t="s">
        <v>70</v>
      </c>
      <c r="G5" s="5" t="s">
        <v>9</v>
      </c>
      <c r="H5" s="5" t="s">
        <v>4</v>
      </c>
      <c r="I5" t="str">
        <f t="shared" si="0"/>
        <v/>
      </c>
    </row>
    <row r="6" spans="1:9" x14ac:dyDescent="0.2">
      <c r="A6" s="5" t="s">
        <v>17</v>
      </c>
      <c r="B6" s="5" t="s">
        <v>17</v>
      </c>
      <c r="C6" s="5" t="s">
        <v>78</v>
      </c>
      <c r="D6" s="5" t="s">
        <v>80</v>
      </c>
      <c r="E6" s="5" t="s">
        <v>13</v>
      </c>
      <c r="F6" s="6" t="s">
        <v>70</v>
      </c>
      <c r="G6" s="5" t="s">
        <v>9</v>
      </c>
      <c r="H6" s="5" t="s">
        <v>4</v>
      </c>
      <c r="I6" t="str">
        <f t="shared" si="0"/>
        <v/>
      </c>
    </row>
    <row r="7" spans="1:9" x14ac:dyDescent="0.2">
      <c r="A7" s="5" t="s">
        <v>18</v>
      </c>
      <c r="B7" s="5" t="s">
        <v>18</v>
      </c>
      <c r="C7" s="5" t="s">
        <v>78</v>
      </c>
      <c r="D7" s="5" t="s">
        <v>80</v>
      </c>
      <c r="E7" s="5" t="s">
        <v>13</v>
      </c>
      <c r="F7" s="6" t="s">
        <v>70</v>
      </c>
      <c r="G7" s="5" t="s">
        <v>9</v>
      </c>
      <c r="H7" s="5" t="s">
        <v>4</v>
      </c>
      <c r="I7" t="str">
        <f t="shared" si="0"/>
        <v/>
      </c>
    </row>
    <row r="8" spans="1:9" x14ac:dyDescent="0.2">
      <c r="A8" s="5" t="s">
        <v>19</v>
      </c>
      <c r="B8" s="5" t="s">
        <v>19</v>
      </c>
      <c r="C8" s="5" t="s">
        <v>78</v>
      </c>
      <c r="D8" s="5" t="s">
        <v>81</v>
      </c>
      <c r="E8" s="5" t="s">
        <v>20</v>
      </c>
      <c r="F8" s="6" t="s">
        <v>70</v>
      </c>
      <c r="G8" s="5" t="s">
        <v>9</v>
      </c>
      <c r="H8" s="5" t="s">
        <v>4</v>
      </c>
      <c r="I8" t="str">
        <f t="shared" si="0"/>
        <v/>
      </c>
    </row>
    <row r="9" spans="1:9" x14ac:dyDescent="0.2">
      <c r="A9" s="5" t="s">
        <v>21</v>
      </c>
      <c r="B9" s="5" t="s">
        <v>21</v>
      </c>
      <c r="C9" s="5" t="s">
        <v>78</v>
      </c>
      <c r="D9" s="5" t="s">
        <v>81</v>
      </c>
      <c r="E9" s="5" t="s">
        <v>20</v>
      </c>
      <c r="F9" s="6" t="s">
        <v>70</v>
      </c>
      <c r="G9" s="5" t="s">
        <v>9</v>
      </c>
      <c r="H9" s="5" t="s">
        <v>4</v>
      </c>
      <c r="I9" t="str">
        <f t="shared" si="0"/>
        <v/>
      </c>
    </row>
    <row r="10" spans="1:9" x14ac:dyDescent="0.2">
      <c r="A10" s="5" t="s">
        <v>22</v>
      </c>
      <c r="B10" s="5" t="s">
        <v>22</v>
      </c>
      <c r="C10" s="5" t="s">
        <v>78</v>
      </c>
      <c r="D10" s="5" t="s">
        <v>81</v>
      </c>
      <c r="E10" s="5" t="s">
        <v>20</v>
      </c>
      <c r="F10" s="6" t="s">
        <v>70</v>
      </c>
      <c r="G10" s="5" t="s">
        <v>9</v>
      </c>
      <c r="H10" s="5" t="s">
        <v>4</v>
      </c>
      <c r="I10" t="str">
        <f t="shared" si="0"/>
        <v/>
      </c>
    </row>
    <row r="11" spans="1:9" x14ac:dyDescent="0.2">
      <c r="A11" s="5" t="s">
        <v>23</v>
      </c>
      <c r="B11" s="5" t="s">
        <v>23</v>
      </c>
      <c r="C11" s="5" t="s">
        <v>78</v>
      </c>
      <c r="D11" s="5" t="s">
        <v>81</v>
      </c>
      <c r="E11" s="5" t="s">
        <v>20</v>
      </c>
      <c r="F11" s="6" t="s">
        <v>70</v>
      </c>
      <c r="G11" s="5" t="s">
        <v>9</v>
      </c>
      <c r="H11" s="5" t="s">
        <v>4</v>
      </c>
      <c r="I11" t="str">
        <f t="shared" si="0"/>
        <v/>
      </c>
    </row>
    <row r="12" spans="1:9" x14ac:dyDescent="0.2">
      <c r="A12" s="5" t="s">
        <v>24</v>
      </c>
      <c r="B12" s="5" t="s">
        <v>24</v>
      </c>
      <c r="C12" s="5" t="s">
        <v>78</v>
      </c>
      <c r="D12" s="5" t="s">
        <v>81</v>
      </c>
      <c r="E12" s="5" t="s">
        <v>20</v>
      </c>
      <c r="F12" s="6" t="s">
        <v>70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25</v>
      </c>
      <c r="B13" s="5" t="s">
        <v>25</v>
      </c>
      <c r="C13" s="5" t="s">
        <v>78</v>
      </c>
      <c r="D13" s="5" t="s">
        <v>81</v>
      </c>
      <c r="E13" s="5" t="s">
        <v>20</v>
      </c>
      <c r="F13" s="6" t="s">
        <v>70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26</v>
      </c>
      <c r="B14" s="5" t="s">
        <v>26</v>
      </c>
      <c r="C14" s="5" t="s">
        <v>78</v>
      </c>
      <c r="D14" s="5" t="s">
        <v>81</v>
      </c>
      <c r="E14" s="5" t="s">
        <v>20</v>
      </c>
      <c r="F14" s="6" t="s">
        <v>70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27</v>
      </c>
      <c r="B15" s="5" t="s">
        <v>27</v>
      </c>
      <c r="C15" s="5" t="s">
        <v>78</v>
      </c>
      <c r="D15" s="5" t="s">
        <v>81</v>
      </c>
      <c r="E15" s="5" t="s">
        <v>20</v>
      </c>
      <c r="F15" s="6" t="s">
        <v>70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28</v>
      </c>
      <c r="B16" s="5" t="s">
        <v>28</v>
      </c>
      <c r="C16" s="5" t="s">
        <v>78</v>
      </c>
      <c r="D16" s="5" t="s">
        <v>81</v>
      </c>
      <c r="E16" s="5" t="s">
        <v>20</v>
      </c>
      <c r="F16" s="6" t="s">
        <v>70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29</v>
      </c>
      <c r="B17" s="5" t="s">
        <v>29</v>
      </c>
      <c r="C17" s="5" t="s">
        <v>78</v>
      </c>
      <c r="D17" s="5" t="s">
        <v>81</v>
      </c>
      <c r="E17" s="5" t="s">
        <v>20</v>
      </c>
      <c r="F17" s="6" t="s">
        <v>70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30</v>
      </c>
      <c r="B18" s="5" t="s">
        <v>30</v>
      </c>
      <c r="C18" s="5" t="s">
        <v>78</v>
      </c>
      <c r="D18" s="5" t="s">
        <v>81</v>
      </c>
      <c r="E18" s="5" t="s">
        <v>20</v>
      </c>
      <c r="F18" s="6" t="s">
        <v>70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31</v>
      </c>
      <c r="B19" s="5" t="s">
        <v>31</v>
      </c>
      <c r="C19" s="5" t="s">
        <v>78</v>
      </c>
      <c r="D19" s="5" t="s">
        <v>81</v>
      </c>
      <c r="E19" s="5" t="s">
        <v>20</v>
      </c>
      <c r="F19" s="6" t="s">
        <v>70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32</v>
      </c>
      <c r="B20" s="5" t="s">
        <v>32</v>
      </c>
      <c r="C20" s="5" t="s">
        <v>78</v>
      </c>
      <c r="D20" s="5" t="s">
        <v>81</v>
      </c>
      <c r="E20" s="5" t="s">
        <v>20</v>
      </c>
      <c r="F20" s="6" t="s">
        <v>70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33</v>
      </c>
      <c r="B21" s="5" t="s">
        <v>33</v>
      </c>
      <c r="C21" s="5" t="s">
        <v>78</v>
      </c>
      <c r="D21" s="5" t="s">
        <v>81</v>
      </c>
      <c r="E21" s="5" t="s">
        <v>20</v>
      </c>
      <c r="F21" s="6" t="s">
        <v>70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34</v>
      </c>
      <c r="B22" s="5" t="s">
        <v>34</v>
      </c>
      <c r="C22" s="5" t="s">
        <v>78</v>
      </c>
      <c r="D22" s="5" t="s">
        <v>81</v>
      </c>
      <c r="E22" s="5" t="s">
        <v>20</v>
      </c>
      <c r="F22" s="6" t="s">
        <v>70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35</v>
      </c>
      <c r="B23" s="5" t="s">
        <v>35</v>
      </c>
      <c r="C23" s="5" t="s">
        <v>78</v>
      </c>
      <c r="D23" s="5" t="s">
        <v>81</v>
      </c>
      <c r="E23" s="5" t="s">
        <v>20</v>
      </c>
      <c r="F23" s="6" t="s">
        <v>70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41</v>
      </c>
      <c r="B24" s="5" t="s">
        <v>41</v>
      </c>
      <c r="C24" s="5" t="s">
        <v>79</v>
      </c>
      <c r="D24" s="5" t="s">
        <v>83</v>
      </c>
      <c r="E24" s="5" t="s">
        <v>42</v>
      </c>
      <c r="F24" s="6" t="s">
        <v>70</v>
      </c>
      <c r="G24" s="5" t="s">
        <v>39</v>
      </c>
      <c r="H24" s="5" t="s">
        <v>4</v>
      </c>
      <c r="I24" t="str">
        <f t="shared" ref="I24:I25" si="1">IF(A24&lt;&gt;B24,"FLAG","")</f>
        <v/>
      </c>
    </row>
    <row r="25" spans="1:9" x14ac:dyDescent="0.2">
      <c r="A25" s="5" t="s">
        <v>46</v>
      </c>
      <c r="B25" s="5" t="s">
        <v>46</v>
      </c>
      <c r="C25" s="5" t="s">
        <v>79</v>
      </c>
      <c r="D25" s="5" t="s">
        <v>84</v>
      </c>
      <c r="E25" s="5" t="s">
        <v>47</v>
      </c>
      <c r="F25" s="6" t="s">
        <v>70</v>
      </c>
      <c r="G25" s="5" t="s">
        <v>39</v>
      </c>
      <c r="H25" s="5" t="s">
        <v>4</v>
      </c>
      <c r="I25" t="str">
        <f t="shared" si="1"/>
        <v/>
      </c>
    </row>
    <row r="26" spans="1:9" x14ac:dyDescent="0.2">
      <c r="A26" s="5" t="s">
        <v>85</v>
      </c>
      <c r="B26" s="5" t="s">
        <v>85</v>
      </c>
      <c r="C26" s="5" t="s">
        <v>79</v>
      </c>
      <c r="D26" s="5" t="s">
        <v>86</v>
      </c>
      <c r="E26" s="5" t="s">
        <v>87</v>
      </c>
      <c r="F26" s="6" t="s">
        <v>70</v>
      </c>
      <c r="G26" s="5" t="s">
        <v>39</v>
      </c>
      <c r="H26" s="5" t="s">
        <v>4</v>
      </c>
    </row>
  </sheetData>
  <sortState xmlns:xlrd2="http://schemas.microsoft.com/office/spreadsheetml/2017/richdata2" ref="A2:I26">
    <sortCondition ref="C3:C26"/>
    <sortCondition ref="G3:G26"/>
    <sortCondition ref="H3:H26"/>
  </sortState>
  <phoneticPr fontId="19" type="noConversion"/>
  <conditionalFormatting sqref="I2:I24">
    <cfRule type="containsText" dxfId="4" priority="49" operator="containsText" text="FLAG">
      <formula>NOT(ISERROR(SEARCH("FLAG",I2)))</formula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64</v>
      </c>
      <c r="D1" s="3" t="s">
        <v>71</v>
      </c>
      <c r="E1" s="3" t="s">
        <v>72</v>
      </c>
      <c r="F1" s="3" t="s">
        <v>68</v>
      </c>
      <c r="G1" s="3" t="s">
        <v>2</v>
      </c>
      <c r="H1" s="3" t="s">
        <v>3</v>
      </c>
      <c r="I1" s="3" t="s">
        <v>63</v>
      </c>
    </row>
    <row r="2" spans="1:9" x14ac:dyDescent="0.2">
      <c r="A2" t="s">
        <v>50</v>
      </c>
      <c r="B2" t="s">
        <v>50</v>
      </c>
      <c r="C2" t="s">
        <v>65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61</v>
      </c>
      <c r="B3" t="s">
        <v>61</v>
      </c>
      <c r="C3" t="s">
        <v>65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51</v>
      </c>
      <c r="B4" t="s">
        <v>51</v>
      </c>
      <c r="C4" t="s">
        <v>65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52</v>
      </c>
      <c r="B5" t="s">
        <v>52</v>
      </c>
      <c r="C5" t="s">
        <v>65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53</v>
      </c>
      <c r="B6" t="s">
        <v>53</v>
      </c>
      <c r="C6" t="s">
        <v>65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54</v>
      </c>
      <c r="B7" t="s">
        <v>54</v>
      </c>
      <c r="C7" t="s">
        <v>65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55</v>
      </c>
      <c r="B8" t="s">
        <v>55</v>
      </c>
      <c r="C8" t="s">
        <v>65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56</v>
      </c>
      <c r="B9" t="s">
        <v>56</v>
      </c>
      <c r="C9" t="s">
        <v>65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57</v>
      </c>
      <c r="B10" t="s">
        <v>57</v>
      </c>
      <c r="C10" t="s">
        <v>65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58</v>
      </c>
      <c r="B11" t="s">
        <v>58</v>
      </c>
      <c r="C11" t="s">
        <v>65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62</v>
      </c>
      <c r="B12" t="s">
        <v>62</v>
      </c>
      <c r="C12" t="s">
        <v>65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59</v>
      </c>
      <c r="B13" t="s">
        <v>59</v>
      </c>
      <c r="C13" t="s">
        <v>65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60</v>
      </c>
      <c r="B14" t="s">
        <v>60</v>
      </c>
      <c r="C14" t="s">
        <v>65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37</v>
      </c>
      <c r="B15" t="s">
        <v>37</v>
      </c>
      <c r="C15" t="s">
        <v>65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61</v>
      </c>
      <c r="B16" t="s">
        <v>61</v>
      </c>
      <c r="C16" t="s">
        <v>65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62</v>
      </c>
      <c r="B17" t="s">
        <v>62</v>
      </c>
      <c r="C17" t="s">
        <v>65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65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36</v>
      </c>
      <c r="B19" t="s">
        <v>36</v>
      </c>
      <c r="C19" t="s">
        <v>65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10</v>
      </c>
      <c r="B20" t="s">
        <v>10</v>
      </c>
      <c r="C20" t="s">
        <v>65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11</v>
      </c>
      <c r="B21" t="s">
        <v>11</v>
      </c>
      <c r="C21" t="s">
        <v>65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66</v>
      </c>
      <c r="D22" t="s">
        <v>8</v>
      </c>
      <c r="E22" t="s">
        <v>73</v>
      </c>
      <c r="F22" t="s">
        <v>69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44</v>
      </c>
      <c r="B23" t="s">
        <v>45</v>
      </c>
      <c r="C23" t="s">
        <v>67</v>
      </c>
      <c r="D23" t="s">
        <v>39</v>
      </c>
      <c r="E23" t="s">
        <v>39</v>
      </c>
      <c r="F23" s="4" t="s">
        <v>70</v>
      </c>
      <c r="G23" t="s">
        <v>39</v>
      </c>
      <c r="H23" t="s">
        <v>4</v>
      </c>
      <c r="I23" t="str">
        <f>IF(A23&lt;&gt;B23,"FLAG","")</f>
        <v>FLAG</v>
      </c>
    </row>
    <row r="24" spans="1:9" x14ac:dyDescent="0.2">
      <c r="A24" t="s">
        <v>48</v>
      </c>
      <c r="B24" t="s">
        <v>48</v>
      </c>
      <c r="C24" t="s">
        <v>67</v>
      </c>
      <c r="D24" t="s">
        <v>74</v>
      </c>
      <c r="E24" t="s">
        <v>74</v>
      </c>
      <c r="F24" s="4" t="s">
        <v>70</v>
      </c>
      <c r="G24" t="s">
        <v>39</v>
      </c>
      <c r="H24" t="s">
        <v>4</v>
      </c>
      <c r="I24" t="str">
        <f>IF(A24&lt;&gt;B24,"FLAG","")</f>
        <v/>
      </c>
    </row>
    <row r="25" spans="1:9" x14ac:dyDescent="0.2">
      <c r="A25" t="s">
        <v>49</v>
      </c>
      <c r="B25" t="s">
        <v>49</v>
      </c>
      <c r="C25" t="s">
        <v>67</v>
      </c>
      <c r="D25" t="s">
        <v>74</v>
      </c>
      <c r="E25" t="s">
        <v>74</v>
      </c>
      <c r="F25" s="4" t="s">
        <v>70</v>
      </c>
      <c r="G25" t="s">
        <v>39</v>
      </c>
      <c r="H25" t="s">
        <v>4</v>
      </c>
      <c r="I25" t="str">
        <f>IF(A25&lt;&gt;B25,"FLAG","")</f>
        <v/>
      </c>
    </row>
    <row r="26" spans="1:9" x14ac:dyDescent="0.2">
      <c r="A26" s="5" t="s">
        <v>38</v>
      </c>
      <c r="B26" s="5" t="s">
        <v>38</v>
      </c>
      <c r="C26" s="5" t="s">
        <v>79</v>
      </c>
      <c r="D26" s="5" t="s">
        <v>82</v>
      </c>
      <c r="E26" s="5" t="s">
        <v>40</v>
      </c>
      <c r="F26" s="6" t="s">
        <v>70</v>
      </c>
      <c r="G26" s="5" t="s">
        <v>39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79</v>
      </c>
      <c r="D27" s="5" t="s">
        <v>82</v>
      </c>
      <c r="E27" s="5" t="s">
        <v>40</v>
      </c>
      <c r="F27" s="6" t="s">
        <v>70</v>
      </c>
      <c r="G27" s="5" t="s">
        <v>39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2026-09-25T15:20:42Z</dcterms:modified>
</cp:coreProperties>
</file>